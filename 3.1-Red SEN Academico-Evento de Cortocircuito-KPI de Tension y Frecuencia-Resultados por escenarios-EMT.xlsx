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camo\Documents\000-Introduccion al trabajo de titulo\datos csv\0-Resultados para el latex\"/>
    </mc:Choice>
  </mc:AlternateContent>
  <xr:revisionPtr revIDLastSave="0" documentId="13_ncr:1_{4F4FADAA-FB31-4818-A969-2E524390DC9A}" xr6:coauthVersionLast="47" xr6:coauthVersionMax="47" xr10:uidLastSave="{00000000-0000-0000-0000-000000000000}"/>
  <bookViews>
    <workbookView xWindow="-108" yWindow="-108" windowWidth="23256" windowHeight="12456" firstSheet="1" activeTab="5" xr2:uid="{3F7947F2-9A7D-49E0-9912-67B2FD4A0A98}"/>
  </bookViews>
  <sheets>
    <sheet name="Caso base" sheetId="1" r:id="rId1"/>
    <sheet name="Reemplazo 25%" sheetId="2" r:id="rId2"/>
    <sheet name="Reemplazo 50%" sheetId="3" r:id="rId3"/>
    <sheet name="Reemplazo 75%" sheetId="4" r:id="rId4"/>
    <sheet name="Reemplazo 100%" sheetId="5" r:id="rId5"/>
    <sheet name="Promedio por caso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2" i="1" l="1"/>
  <c r="L2" i="1"/>
  <c r="I17" i="1" a="1"/>
  <c r="I17" i="5" a="1"/>
  <c r="J5" i="6" a="1"/>
  <c r="J6" i="6" a="1"/>
  <c r="J7" i="6" a="1"/>
  <c r="J8" i="6" a="1"/>
  <c r="L2" i="5"/>
  <c r="L2" i="4"/>
  <c r="L2" i="3"/>
  <c r="L2" i="2"/>
  <c r="H17" i="5"/>
  <c r="G17" i="5"/>
  <c r="F17" i="5"/>
  <c r="E17" i="5"/>
  <c r="D17" i="5"/>
  <c r="C17" i="5"/>
  <c r="B17" i="5"/>
  <c r="I17" i="4" a="1"/>
  <c r="H17" i="4"/>
  <c r="G17" i="4"/>
  <c r="F17" i="4"/>
  <c r="E17" i="4"/>
  <c r="D17" i="4"/>
  <c r="C17" i="4"/>
  <c r="B17" i="4"/>
  <c r="I17" i="2" a="1"/>
  <c r="H17" i="2"/>
  <c r="G17" i="2"/>
  <c r="F17" i="2"/>
  <c r="E17" i="2"/>
  <c r="D17" i="2"/>
  <c r="C17" i="2"/>
  <c r="B17" i="2"/>
  <c r="H17" i="1"/>
  <c r="G17" i="1"/>
  <c r="F17" i="1"/>
  <c r="E17" i="1"/>
  <c r="D17" i="1"/>
  <c r="C17" i="1"/>
  <c r="B17" i="1"/>
  <c r="H17" i="3"/>
  <c r="G17" i="3"/>
  <c r="F17" i="3"/>
  <c r="E17" i="3"/>
  <c r="D17" i="3"/>
  <c r="C17" i="3"/>
  <c r="B17" i="3"/>
  <c r="I17" i="3" a="1"/>
  <c r="M2" i="5" l="1"/>
  <c r="M2" i="4"/>
  <c r="M2" i="3"/>
  <c r="M2" i="2"/>
  <c r="J4" i="6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<sst xmlns="http://schemas.openxmlformats.org/spreadsheetml/2006/main" count="148" uniqueCount="34">
  <si>
    <t>Barra</t>
  </si>
  <si>
    <t>V_min [pu]</t>
  </si>
  <si>
    <t>V_max [pu]</t>
  </si>
  <si>
    <t>V_mean [pu]</t>
  </si>
  <si>
    <t>f_min [Hz]</t>
  </si>
  <si>
    <t>f_max [Hz]</t>
  </si>
  <si>
    <t>f_nadir [Hz]</t>
  </si>
  <si>
    <t>f_zenith [Hz]</t>
  </si>
  <si>
    <t>ROCOF_max [Hz/s]</t>
  </si>
  <si>
    <t>Alto Jahuel 220 kV</t>
  </si>
  <si>
    <t>Charrua 154 kV</t>
  </si>
  <si>
    <t>Charrua 220 kV</t>
  </si>
  <si>
    <t>Concepcion 220 kV</t>
  </si>
  <si>
    <t>Hualpen 154 kV</t>
  </si>
  <si>
    <t>Hualpen 220 kV</t>
  </si>
  <si>
    <t>Las Vegas 110 kV</t>
  </si>
  <si>
    <t>Toro 13.8kV</t>
  </si>
  <si>
    <t>Maitencillo 220 kV</t>
  </si>
  <si>
    <t>Nehuenco 13.8 kV</t>
  </si>
  <si>
    <t>Paposo 220 kV</t>
  </si>
  <si>
    <t>Renca 110 kV</t>
  </si>
  <si>
    <t>San Isidro I 13.8 kV</t>
  </si>
  <si>
    <t>San Pedro 110 kV</t>
  </si>
  <si>
    <t>Promedio del sistema</t>
  </si>
  <si>
    <t>Escenario</t>
  </si>
  <si>
    <t>Caso base</t>
  </si>
  <si>
    <t>Reemplazo 25%</t>
  </si>
  <si>
    <t>Reemplazo 50%</t>
  </si>
  <si>
    <t>Reemplazo 75%</t>
  </si>
  <si>
    <t>Reemplazo 100%</t>
  </si>
  <si>
    <t>Total de barras</t>
  </si>
  <si>
    <t>Barras dentro de banda</t>
  </si>
  <si>
    <t>Porcentaje dentro</t>
  </si>
  <si>
    <t>Barras dentro de banda frecuencia [%]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</si>
</sst>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/>
    <xf numFmtId="164" fontId="0" fillId="0" borderId="0" xfId="0" applyNumberFormat="1"/>
    <xf numFmtId="9" fontId="0" fillId="0" borderId="0" xfId="1" applyFont="1"/>
  </cellXfs>
  <cellStyles count="2">
    <cellStyle name="Normal" xfId="0" builtinId="0"/>
    <cellStyle name="Porcentaje" xfId="1" builtinId="5"/>
  </cellStyles>
  <dxfs count="2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numFmt numFmtId="164" formatCode="0.00000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7E37A7-7806-4918-8F53-6F6E48AC3EB4}" name="Tabla1" displayName="Tabla1" ref="A1:I15" totalsRowShown="0" headerRowDxfId="19" headerRowBorderDxfId="18" tableBorderDxfId="17">
  <autoFilter ref="A1:I15" xr:uid="{027E37A7-7806-4918-8F53-6F6E48AC3EB4}"/>
  <tableColumns count="9">
    <tableColumn id="1" xr3:uid="{28747FE8-1383-45B6-A87E-8823E10E181E}" name="Barra" dataDxfId="16"/>
    <tableColumn id="2" xr3:uid="{E0A9EE5E-2F17-406A-9451-60FBECA3AD85}" name="V_min [pu]"/>
    <tableColumn id="3" xr3:uid="{6B581658-7A52-407F-A4FA-BB07947C6B96}" name="V_max [pu]"/>
    <tableColumn id="4" xr3:uid="{6B92C453-5623-4A97-8890-D74883D4E072}" name="V_mean [pu]"/>
    <tableColumn id="5" xr3:uid="{D382AEBE-C8DA-43C5-8CB2-DA423821383C}" name="f_min [Hz]"/>
    <tableColumn id="6" xr3:uid="{ABE32FFD-2CD5-4417-AD6C-93E9633C667F}" name="f_max [Hz]"/>
    <tableColumn id="7" xr3:uid="{1E0F6710-380B-4A7B-9F35-6C9831F9EF5F}" name="f_nadir [Hz]"/>
    <tableColumn id="8" xr3:uid="{0D76FA75-26E6-42B8-BAAB-80E51CEBA40B}" name="f_zenith [Hz]"/>
    <tableColumn id="9" xr3:uid="{C6EE9FE0-0970-4FC0-9B45-3B9D8E5671FC}" name="ROCOF_max [Hz/s]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7ACD597-B683-4CC6-A8C7-C1C763D7C56D}" name="Tabla7" displayName="Tabla7" ref="K1:M2" totalsRowShown="0" headerRowCellStyle="Normal" dataCellStyle="Normal">
  <autoFilter ref="K1:M2" xr:uid="{07ACD597-B683-4CC6-A8C7-C1C763D7C56D}"/>
  <tableColumns count="3">
    <tableColumn id="1" xr3:uid="{55B6656D-0E2F-40D8-BB74-ED3F76F03208}" name="Total de barras" dataCellStyle="Normal"/>
    <tableColumn id="2" xr3:uid="{00B2C6A8-316C-4018-8D20-93DB14028001}" name="Barras dentro de banda" dataCellStyle="Normal">
      <calculatedColumnFormula>COUNTIFS(G2:G16,"&gt;=49,5",H2:H16,"&lt;=50,5")</calculatedColumnFormula>
    </tableColumn>
    <tableColumn id="3" xr3:uid="{1E1C1A1A-DF0B-4E70-8BD5-420A409E21C1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A7F46A0-D95A-4EB1-B73B-31C76C60BDB3}" name="Tabla2" displayName="Tabla2" ref="A1:I15" totalsRowShown="0" headerRowDxfId="15" headerRowBorderDxfId="14" tableBorderDxfId="13">
  <autoFilter ref="A1:I15" xr:uid="{BA7F46A0-D95A-4EB1-B73B-31C76C60BDB3}"/>
  <tableColumns count="9">
    <tableColumn id="1" xr3:uid="{C3597A0F-350E-4D06-8994-628406A27835}" name="Barra" dataDxfId="12"/>
    <tableColumn id="2" xr3:uid="{415811CC-19D8-413C-A852-4E956809BBB0}" name="V_min [pu]"/>
    <tableColumn id="3" xr3:uid="{0EF68559-21F2-46C3-B22F-EAC7D6B8A39D}" name="V_max [pu]"/>
    <tableColumn id="4" xr3:uid="{F8588F8A-F8B8-47DC-8625-720C80451EB0}" name="V_mean [pu]"/>
    <tableColumn id="5" xr3:uid="{E7AF87A8-B7AE-45D3-B7B6-26AF620D0AF6}" name="f_min [Hz]"/>
    <tableColumn id="6" xr3:uid="{75F40A9D-74F6-498F-AA29-673358155BCF}" name="f_max [Hz]"/>
    <tableColumn id="7" xr3:uid="{F3812FA3-5A89-44D4-BB0E-607036252116}" name="f_nadir [Hz]"/>
    <tableColumn id="8" xr3:uid="{EF960C01-17C3-4D1E-875C-9C85A67241EA}" name="f_zenith [Hz]"/>
    <tableColumn id="9" xr3:uid="{C54759A4-64F8-4A04-992C-D2EB178F8D84}" name="ROCOF_max [Hz/s]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DD717D0-BCE3-40AD-ADCF-7DD4CB0CF225}" name="Tabla79" displayName="Tabla79" ref="K1:M2" totalsRowShown="0" headerRowCellStyle="Normal" dataCellStyle="Normal">
  <autoFilter ref="K1:M2" xr:uid="{EDD717D0-BCE3-40AD-ADCF-7DD4CB0CF225}"/>
  <tableColumns count="3">
    <tableColumn id="1" xr3:uid="{F2E33D69-F901-4B62-A4E2-621FE72A1A18}" name="Total de barras" dataCellStyle="Normal"/>
    <tableColumn id="2" xr3:uid="{ACA180CE-733C-4D3A-823A-FC84DEE6926F}" name="Barras dentro de banda" dataCellStyle="Normal">
      <calculatedColumnFormula>COUNTIFS(G2:G16,"&gt;=49,5",H2:H16,"&lt;=50,5")</calculatedColumnFormula>
    </tableColumn>
    <tableColumn id="3" xr3:uid="{129E96C4-CE05-4774-B157-1115AFE0C5D3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474547-8610-43BD-8700-6BE91E22B300}" name="Tabla3" displayName="Tabla3" ref="A1:I15" totalsRowShown="0" headerRowDxfId="11" headerRowBorderDxfId="10" tableBorderDxfId="9">
  <autoFilter ref="A1:I15" xr:uid="{3E474547-8610-43BD-8700-6BE91E22B300}"/>
  <tableColumns count="9">
    <tableColumn id="1" xr3:uid="{783D9503-8545-47D9-91DE-9AB272245CD4}" name="Barra" dataDxfId="8"/>
    <tableColumn id="2" xr3:uid="{43FFE82B-3BDE-4B8D-8BED-58DE15F9B389}" name="V_min [pu]"/>
    <tableColumn id="3" xr3:uid="{542884EE-9E95-4C67-AA89-E7FC38852F3A}" name="V_max [pu]"/>
    <tableColumn id="4" xr3:uid="{4F2075FA-4B3A-49C9-B0C5-D0D741913C53}" name="V_mean [pu]"/>
    <tableColumn id="5" xr3:uid="{E605A129-EEAB-4860-908B-0BF57D4A62B4}" name="f_min [Hz]"/>
    <tableColumn id="6" xr3:uid="{69FBF212-695A-417E-98C0-D8F763893B4A}" name="f_max [Hz]"/>
    <tableColumn id="7" xr3:uid="{2ACAA6EE-C1B9-46A6-B0B7-0678337DA799}" name="f_nadir [Hz]"/>
    <tableColumn id="8" xr3:uid="{1555F778-B169-45E7-B6A3-A81B83D830E1}" name="f_zenith [Hz]"/>
    <tableColumn id="9" xr3:uid="{7D1B544B-0ECB-405B-B0DD-A7F6FF9D9739}" name="ROCOF_max [Hz/s]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67C4C35-4D4A-47AB-A603-D1E1B68C99F9}" name="Tabla710" displayName="Tabla710" ref="K1:M2" totalsRowShown="0" headerRowCellStyle="Normal" dataCellStyle="Normal">
  <autoFilter ref="K1:M2" xr:uid="{167C4C35-4D4A-47AB-A603-D1E1B68C99F9}"/>
  <tableColumns count="3">
    <tableColumn id="1" xr3:uid="{E4BFAE92-3F3C-4467-9859-E4278DAE7663}" name="Total de barras" dataCellStyle="Normal"/>
    <tableColumn id="2" xr3:uid="{9ADBC3EA-3728-4EF8-ABDF-41B435E1E57A}" name="Barras dentro de banda" dataCellStyle="Normal">
      <calculatedColumnFormula>COUNTIFS(G2:G16,"&gt;=49,5",H2:H16,"&lt;=50,5")</calculatedColumnFormula>
    </tableColumn>
    <tableColumn id="3" xr3:uid="{B889F0CB-9F1C-4C8D-9E91-963DF12E1168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D98D4E8-218E-42ED-8AB6-04B58C7FC6DA}" name="Tabla4" displayName="Tabla4" ref="A1:I15" totalsRowShown="0" headerRowDxfId="7" headerRowBorderDxfId="6" tableBorderDxfId="5">
  <autoFilter ref="A1:I15" xr:uid="{6D98D4E8-218E-42ED-8AB6-04B58C7FC6DA}"/>
  <tableColumns count="9">
    <tableColumn id="1" xr3:uid="{CAD01C93-B5D5-4A45-A559-82D10734E686}" name="Barra" dataDxfId="4"/>
    <tableColumn id="2" xr3:uid="{F5521B7E-7EC3-4F42-AFB7-C232A699B7AA}" name="V_min [pu]"/>
    <tableColumn id="3" xr3:uid="{64962284-F2CD-4F09-ABD2-399C9957733B}" name="V_max [pu]"/>
    <tableColumn id="4" xr3:uid="{1C9FF982-D3D0-48EF-BD18-01B43D287986}" name="V_mean [pu]"/>
    <tableColumn id="5" xr3:uid="{FA5BFB91-3C7D-44EA-9A8D-910A78794089}" name="f_min [Hz]"/>
    <tableColumn id="6" xr3:uid="{149A0503-49A1-4F34-9FD1-22D70F69E26A}" name="f_max [Hz]"/>
    <tableColumn id="7" xr3:uid="{4EDCC5C5-5A36-4CF9-8E43-0451E7153354}" name="f_nadir [Hz]"/>
    <tableColumn id="8" xr3:uid="{4CE5DD14-A06F-4094-8C05-1257799BAB2E}" name="f_zenith [Hz]"/>
    <tableColumn id="9" xr3:uid="{BD1F139D-1FAE-4CB1-9F22-7FFC56909ED9}" name="ROCOF_max [Hz/s]"/>
  </tableColumns>
  <tableStyleInfo name="TableStyleMedium2" showFirstColumn="0" showLastColumn="0" showRowStripes="0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B758346-971A-4914-A18F-74662FAB797F}" name="Tabla711" displayName="Tabla711" ref="K1:M2" totalsRowShown="0" headerRowCellStyle="Normal" dataCellStyle="Normal">
  <autoFilter ref="K1:M2" xr:uid="{1B758346-971A-4914-A18F-74662FAB797F}"/>
  <tableColumns count="3">
    <tableColumn id="1" xr3:uid="{E633F84B-F9DF-4410-ABAE-0E4F86AA28A1}" name="Total de barras" dataCellStyle="Normal"/>
    <tableColumn id="2" xr3:uid="{D07FB00A-4CC8-45F6-813C-988CB4797AD1}" name="Barras dentro de banda" dataCellStyle="Normal">
      <calculatedColumnFormula>COUNTIFS(G2:G16,"&gt;=49,5",H2:H16,"&lt;=50,5")</calculatedColumnFormula>
    </tableColumn>
    <tableColumn id="3" xr3:uid="{874D8951-5B31-445F-B393-819A52AC8635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CB2E68-5EC9-48BE-82FF-31AB6AA08D52}" name="Tabla5" displayName="Tabla5" ref="A1:I15" totalsRowShown="0" headerRowDxfId="3" headerRowBorderDxfId="2" tableBorderDxfId="1">
  <autoFilter ref="A1:I15" xr:uid="{A7CB2E68-5EC9-48BE-82FF-31AB6AA08D52}"/>
  <tableColumns count="9">
    <tableColumn id="1" xr3:uid="{454EDE62-25B1-4C67-A101-509EE41C9EB7}" name="Barra" dataDxfId="0"/>
    <tableColumn id="2" xr3:uid="{4219A489-5558-4BE7-80A7-856980C65DCE}" name="V_min [pu]"/>
    <tableColumn id="3" xr3:uid="{13FB0DB8-AF6B-47D9-A078-7931968AD0AC}" name="V_max [pu]"/>
    <tableColumn id="4" xr3:uid="{89BAF2A5-29DD-4883-9956-F58111AFB731}" name="V_mean [pu]"/>
    <tableColumn id="5" xr3:uid="{B608F7B1-2B56-4496-AE1F-2D2A5E92DBE6}" name="f_min [Hz]"/>
    <tableColumn id="6" xr3:uid="{CEBBD9FA-E3A1-4E6C-A9E7-7BB6B756D145}" name="f_max [Hz]"/>
    <tableColumn id="7" xr3:uid="{78B98602-6803-44DA-B637-78EC324FC33A}" name="f_nadir [Hz]"/>
    <tableColumn id="8" xr3:uid="{350268D8-4D35-4E13-967D-E6B6F51E1BC6}" name="f_zenith [Hz]"/>
    <tableColumn id="9" xr3:uid="{21914B9D-B796-491A-A14C-FF28B87F2F65}" name="ROCOF_max [Hz/s]"/>
  </tableColumns>
  <tableStyleInfo name="TableStyleMedium2" showFirstColumn="0" showLastColumn="0" showRowStripes="0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4B8AFA6-6E26-4960-9CD6-1ACE488724D2}" name="Tabla712" displayName="Tabla712" ref="K1:M2" totalsRowShown="0" headerRowCellStyle="Normal" dataCellStyle="Normal">
  <autoFilter ref="K1:M2" xr:uid="{84B8AFA6-6E26-4960-9CD6-1ACE488724D2}"/>
  <tableColumns count="3">
    <tableColumn id="1" xr3:uid="{EAAE8F83-6223-4DE6-AD37-89693381864E}" name="Total de barras" dataCellStyle="Normal"/>
    <tableColumn id="2" xr3:uid="{574403E6-AD3C-4A0C-B6B4-237FD16B686E}" name="Barras dentro de banda" dataCellStyle="Normal">
      <calculatedColumnFormula>COUNTIFS(G2:G16,"&gt;=49,5",H2:H16,"&lt;=50,5")</calculatedColumnFormula>
    </tableColumn>
    <tableColumn id="3" xr3:uid="{00881FEA-74E7-4968-8788-AB218E0192C7}" name="Porcentaje dentro" dataCellStyle="Porcentaje">
      <calculatedColumnFormula>L2/K2</calculatedColumnFormula>
    </tableColumn>
  </tableColumns>
  <tableStyleInfo name="TableStyleMedium2" showFirstColumn="0" showLastColumn="0" showRowStripes="0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23397BF-FD07-43C0-BC95-90BAC2C3C335}" name="Tabla6" displayName="Tabla6" ref="C3:J8" totalsRowShown="0" headerRowDxfId="28" headerRowBorderDxfId="27" tableBorderDxfId="26">
  <autoFilter ref="C3:J8" xr:uid="{A23397BF-FD07-43C0-BC95-90BAC2C3C335}"/>
  <tableColumns count="8">
    <tableColumn id="1" xr3:uid="{C5409462-D711-4BD2-A15D-4AC9F7003860}" name="Escenario"/>
    <tableColumn id="2" xr3:uid="{D6A89C99-2C63-431B-B219-E2E7BE9C352F}" name="V_min [pu]" dataDxfId="25"/>
    <tableColumn id="3" xr3:uid="{46379349-A4AB-472B-92AC-F86C0A83EFD6}" name="V_max [pu]" dataDxfId="24"/>
    <tableColumn id="4" xr3:uid="{BF4F533A-849A-4680-8F40-4B625C3395E7}" name="V_mean [pu]" dataDxfId="23"/>
    <tableColumn id="7" xr3:uid="{DC34C159-9C39-49F2-9480-6F27126F1671}" name="f_nadir [Hz]" dataDxfId="22"/>
    <tableColumn id="8" xr3:uid="{5E5E6B45-75DF-484F-9E43-3F874F216917}" name="f_zenith [Hz]" dataDxfId="21"/>
    <tableColumn id="9" xr3:uid="{8CC49501-420C-4BE0-94CC-87DB48E24D5D}" name="ROCOF_max [Hz/s]" dataDxfId="20"/>
    <tableColumn id="5" xr3:uid="{29231E60-5D4D-4F68-AA33-A2C73350635D}" name="Barras dentro de banda frecuencia [%]" dataCellStyle="Porcentaje">
      <calculatedColumnFormula array="1">Tabla7[Porcentaje dentro]</calculatedColumnFormula>
    </tableColumn>
  </tableColumns>
  <tableStyleInfo name="TableStyleMedium14" showFirstColumn="1" showLastColumn="0" showRowStripes="0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A9F48-C9E0-4B9C-93AA-382004BFAA84}">
  <dimension ref="A1:M17"/>
  <sheetViews>
    <sheetView topLeftCell="B1" workbookViewId="0">
      <selection activeCell="K1" sqref="K1:M2"/>
    </sheetView>
  </sheetViews>
  <sheetFormatPr baseColWidth="10" defaultRowHeight="14.4" x14ac:dyDescent="0.3"/>
  <cols>
    <col min="1" max="1" width="20.44140625" bestFit="1" customWidth="1"/>
    <col min="2" max="2" width="15.44140625" bestFit="1" customWidth="1"/>
    <col min="3" max="3" width="15.6640625" bestFit="1" customWidth="1"/>
    <col min="4" max="4" width="17" bestFit="1" customWidth="1"/>
    <col min="5" max="5" width="14.6640625" bestFit="1" customWidth="1"/>
    <col min="6" max="6" width="15" bestFit="1" customWidth="1"/>
    <col min="7" max="7" width="15.88671875" bestFit="1" customWidth="1"/>
    <col min="8" max="8" width="16.88671875" bestFit="1" customWidth="1"/>
    <col min="9" max="9" width="22.33203125" bestFit="1" customWidth="1"/>
    <col min="11" max="11" width="16.44140625" bestFit="1" customWidth="1"/>
    <col min="12" max="12" width="24.109375" bestFit="1" customWidth="1"/>
    <col min="13" max="13" width="19.5546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30</v>
      </c>
      <c r="L1" t="s">
        <v>31</v>
      </c>
      <c r="M1" t="s">
        <v>32</v>
      </c>
    </row>
    <row r="2" spans="1:13" x14ac:dyDescent="0.3">
      <c r="A2" s="1" t="s">
        <v>9</v>
      </c>
      <c r="B2">
        <v>0.97330000000000005</v>
      </c>
      <c r="C2">
        <v>0.99929999999999997</v>
      </c>
      <c r="D2">
        <v>0.9911457331873782</v>
      </c>
      <c r="E2">
        <v>44.040300000000002</v>
      </c>
      <c r="F2">
        <v>53.882199999999997</v>
      </c>
      <c r="G2">
        <v>44.040300000000002</v>
      </c>
      <c r="H2">
        <v>53.882199999999997</v>
      </c>
      <c r="I2">
        <v>0.13381687198881459</v>
      </c>
      <c r="K2">
        <v>15</v>
      </c>
      <c r="L2">
        <f>COUNTIFS(G2:G16,"&gt;=49,5",H2:H16,"&lt;=50,5")</f>
        <v>1</v>
      </c>
      <c r="M2" s="7">
        <f>L2/K2</f>
        <v>6.6666666666666666E-2</v>
      </c>
    </row>
    <row r="3" spans="1:13" x14ac:dyDescent="0.3">
      <c r="A3" s="1" t="s">
        <v>10</v>
      </c>
      <c r="B3">
        <v>0.99029999999999996</v>
      </c>
      <c r="C3">
        <v>1.0385</v>
      </c>
      <c r="D3">
        <v>1.0296150016657939</v>
      </c>
      <c r="E3">
        <v>41.098500000000001</v>
      </c>
      <c r="F3">
        <v>57.479500000000002</v>
      </c>
      <c r="G3">
        <v>41.098500000000001</v>
      </c>
      <c r="H3">
        <v>57.479500000000002</v>
      </c>
      <c r="I3">
        <v>0.1476553849999101</v>
      </c>
    </row>
    <row r="4" spans="1:13" x14ac:dyDescent="0.3">
      <c r="A4" s="1" t="s">
        <v>11</v>
      </c>
      <c r="B4">
        <v>0.9889</v>
      </c>
      <c r="C4">
        <v>1.0435000000000001</v>
      </c>
      <c r="D4">
        <v>1.034314973109324</v>
      </c>
      <c r="E4">
        <v>39.7057</v>
      </c>
      <c r="F4">
        <v>58.359099999999998</v>
      </c>
      <c r="G4">
        <v>39.7057</v>
      </c>
      <c r="H4">
        <v>58.359099999999998</v>
      </c>
      <c r="I4">
        <v>0.17140915846092089</v>
      </c>
    </row>
    <row r="5" spans="1:13" x14ac:dyDescent="0.3">
      <c r="A5" s="1" t="s">
        <v>12</v>
      </c>
      <c r="B5">
        <v>0.92169999999999996</v>
      </c>
      <c r="C5">
        <v>0.96340000000000003</v>
      </c>
      <c r="D5">
        <v>0.95596045404787977</v>
      </c>
      <c r="E5">
        <v>40.488900000000001</v>
      </c>
      <c r="F5">
        <v>59.576900000000002</v>
      </c>
      <c r="G5">
        <v>40.488900000000001</v>
      </c>
      <c r="H5">
        <v>59.576900000000002</v>
      </c>
      <c r="I5">
        <v>0.13774991232159151</v>
      </c>
    </row>
    <row r="6" spans="1:13" x14ac:dyDescent="0.3">
      <c r="A6" s="1" t="s">
        <v>13</v>
      </c>
      <c r="B6">
        <v>0.94840000000000002</v>
      </c>
      <c r="C6">
        <v>0.98909999999999998</v>
      </c>
      <c r="D6">
        <v>0.97964954547617933</v>
      </c>
      <c r="E6">
        <v>39.948799999999999</v>
      </c>
      <c r="F6">
        <v>60.819699999999997</v>
      </c>
      <c r="G6">
        <v>39.948799999999999</v>
      </c>
      <c r="H6">
        <v>60.819699999999997</v>
      </c>
      <c r="I6">
        <v>0.134065042989157</v>
      </c>
    </row>
    <row r="7" spans="1:13" x14ac:dyDescent="0.3">
      <c r="A7" s="1" t="s">
        <v>14</v>
      </c>
      <c r="B7">
        <v>0.95579999999999998</v>
      </c>
      <c r="C7">
        <v>1</v>
      </c>
      <c r="D7">
        <v>0.98963646661272697</v>
      </c>
      <c r="E7">
        <v>39.008099999999999</v>
      </c>
      <c r="F7">
        <v>61.580399999999997</v>
      </c>
      <c r="G7">
        <v>39.008099999999999</v>
      </c>
      <c r="H7">
        <v>61.580399999999997</v>
      </c>
      <c r="I7">
        <v>0.1412920264542761</v>
      </c>
    </row>
    <row r="8" spans="1:13" x14ac:dyDescent="0.3">
      <c r="A8" s="1" t="s">
        <v>15</v>
      </c>
      <c r="B8">
        <v>0.99270000000000003</v>
      </c>
      <c r="C8">
        <v>1.0003</v>
      </c>
      <c r="D8">
        <v>0.99831589167578894</v>
      </c>
      <c r="E8">
        <v>48.479700000000001</v>
      </c>
      <c r="F8">
        <v>51.197499999999998</v>
      </c>
      <c r="G8">
        <v>48.479700000000001</v>
      </c>
      <c r="H8">
        <v>51.197499999999998</v>
      </c>
      <c r="I8">
        <v>8.442130557961261E-2</v>
      </c>
    </row>
    <row r="9" spans="1:13" x14ac:dyDescent="0.3">
      <c r="A9" s="1" t="s">
        <v>16</v>
      </c>
      <c r="B9">
        <v>1.0271999999999999</v>
      </c>
      <c r="C9">
        <v>1.0550999999999999</v>
      </c>
      <c r="D9">
        <v>1.048127261910428</v>
      </c>
      <c r="E9">
        <v>45.253300000000003</v>
      </c>
      <c r="F9">
        <v>53.901899999999998</v>
      </c>
      <c r="G9">
        <v>45.253300000000003</v>
      </c>
      <c r="H9">
        <v>53.901899999999998</v>
      </c>
      <c r="I9">
        <v>0.1076557635154763</v>
      </c>
    </row>
    <row r="10" spans="1:13" x14ac:dyDescent="0.3">
      <c r="A10" s="1" t="s">
        <v>17</v>
      </c>
      <c r="B10">
        <v>1.0465</v>
      </c>
      <c r="C10">
        <v>1.0521</v>
      </c>
      <c r="D10">
        <v>1.049527395173957</v>
      </c>
      <c r="E10">
        <v>49.319600000000001</v>
      </c>
      <c r="F10">
        <v>50.606400000000001</v>
      </c>
      <c r="G10">
        <v>49.319600000000001</v>
      </c>
      <c r="H10">
        <v>50.606400000000001</v>
      </c>
      <c r="I10">
        <v>8.6944434986115496E-2</v>
      </c>
    </row>
    <row r="11" spans="1:13" x14ac:dyDescent="0.3">
      <c r="A11" s="1" t="s">
        <v>18</v>
      </c>
      <c r="B11">
        <v>1.0044</v>
      </c>
      <c r="C11">
        <v>1.0118</v>
      </c>
      <c r="D11">
        <v>1.0098612203131689</v>
      </c>
      <c r="E11">
        <v>48.334000000000003</v>
      </c>
      <c r="F11">
        <v>51.262900000000002</v>
      </c>
      <c r="G11">
        <v>48.334000000000003</v>
      </c>
      <c r="H11">
        <v>51.262900000000002</v>
      </c>
      <c r="I11">
        <v>8.5411508793474616E-2</v>
      </c>
    </row>
    <row r="12" spans="1:13" x14ac:dyDescent="0.3">
      <c r="A12" s="1" t="s">
        <v>19</v>
      </c>
      <c r="B12">
        <v>1.0388999999999999</v>
      </c>
      <c r="C12">
        <v>1.0416000000000001</v>
      </c>
      <c r="D12">
        <v>1.040166488981962</v>
      </c>
      <c r="E12">
        <v>49.758600000000001</v>
      </c>
      <c r="F12">
        <v>50.253100000000003</v>
      </c>
      <c r="G12">
        <v>49.758600000000001</v>
      </c>
      <c r="H12">
        <v>50.253100000000003</v>
      </c>
      <c r="I12">
        <v>0.1124369109722842</v>
      </c>
    </row>
    <row r="13" spans="1:13" x14ac:dyDescent="0.3">
      <c r="A13" s="1" t="s">
        <v>20</v>
      </c>
      <c r="B13">
        <v>1.0066999999999999</v>
      </c>
      <c r="C13">
        <v>1.0286</v>
      </c>
      <c r="D13">
        <v>1.0193151492075581</v>
      </c>
      <c r="E13">
        <v>45.620699999999999</v>
      </c>
      <c r="F13">
        <v>53.600299999999997</v>
      </c>
      <c r="G13">
        <v>45.620699999999999</v>
      </c>
      <c r="H13">
        <v>53.600299999999997</v>
      </c>
      <c r="I13">
        <v>0.1069045296693638</v>
      </c>
    </row>
    <row r="14" spans="1:13" x14ac:dyDescent="0.3">
      <c r="A14" s="1" t="s">
        <v>21</v>
      </c>
      <c r="B14">
        <v>1.0336000000000001</v>
      </c>
      <c r="C14">
        <v>1.0422</v>
      </c>
      <c r="D14">
        <v>1.0397726714578079</v>
      </c>
      <c r="E14">
        <v>48.106000000000002</v>
      </c>
      <c r="F14">
        <v>51.425699999999999</v>
      </c>
      <c r="G14">
        <v>48.106000000000002</v>
      </c>
      <c r="H14">
        <v>51.425699999999999</v>
      </c>
      <c r="I14">
        <v>8.6676451632095322E-2</v>
      </c>
    </row>
    <row r="15" spans="1:13" x14ac:dyDescent="0.3">
      <c r="A15" s="1" t="s">
        <v>22</v>
      </c>
      <c r="B15">
        <v>1.0044999999999999</v>
      </c>
      <c r="C15">
        <v>1.0113000000000001</v>
      </c>
      <c r="D15">
        <v>1.009600956641759</v>
      </c>
      <c r="E15">
        <v>48.56</v>
      </c>
      <c r="F15">
        <v>51.043500000000002</v>
      </c>
      <c r="G15">
        <v>48.56</v>
      </c>
      <c r="H15">
        <v>51.043500000000002</v>
      </c>
      <c r="I15">
        <v>8.2336143105169984E-2</v>
      </c>
    </row>
    <row r="17" spans="1:9" x14ac:dyDescent="0.3">
      <c r="A17" s="4" t="s">
        <v>23</v>
      </c>
      <c r="B17" s="5">
        <f>MIN(B2:B15)</f>
        <v>0.92169999999999996</v>
      </c>
      <c r="C17" s="5">
        <f>MAX(C2:C15)</f>
        <v>1.0550999999999999</v>
      </c>
      <c r="D17" s="5">
        <f>AVERAGE(D2:D15)</f>
        <v>1.0139292292472653</v>
      </c>
      <c r="E17" s="5">
        <f>MIN(E2:E15)</f>
        <v>39.008099999999999</v>
      </c>
      <c r="F17" s="5">
        <f>MAX(F2:F15)</f>
        <v>61.580399999999997</v>
      </c>
      <c r="G17" s="5">
        <f>MIN(G2:G15)</f>
        <v>39.008099999999999</v>
      </c>
      <c r="H17" s="5">
        <f>MAX(H2:H15)</f>
        <v>61.580399999999997</v>
      </c>
      <c r="I17" s="5" cm="1">
        <f t="array" ref="I17">_xlfn.XLOOKUP(MAX(ABS(I2:I15)),ABS(I2:I15),I2:I15)</f>
        <v>0.17140915846092089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0E6F-9F0D-4D7D-85C1-C8BD35AF20A8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5546875" bestFit="1" customWidth="1"/>
    <col min="2" max="2" width="15.44140625" bestFit="1" customWidth="1"/>
    <col min="3" max="3" width="15.6640625" bestFit="1" customWidth="1"/>
    <col min="4" max="4" width="17" bestFit="1" customWidth="1"/>
    <col min="5" max="5" width="14.6640625" bestFit="1" customWidth="1"/>
    <col min="6" max="6" width="15" bestFit="1" customWidth="1"/>
    <col min="7" max="7" width="15.88671875" bestFit="1" customWidth="1"/>
    <col min="8" max="8" width="16.88671875" bestFit="1" customWidth="1"/>
    <col min="9" max="9" width="22.33203125" bestFit="1" customWidth="1"/>
    <col min="12" max="12" width="24.109375" bestFit="1" customWidth="1"/>
    <col min="13" max="13" width="19.5546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30</v>
      </c>
      <c r="L1" t="s">
        <v>31</v>
      </c>
      <c r="M1" t="s">
        <v>32</v>
      </c>
    </row>
    <row r="2" spans="1:13" x14ac:dyDescent="0.3">
      <c r="A2" s="1" t="s">
        <v>9</v>
      </c>
      <c r="B2">
        <v>0.97409999999999997</v>
      </c>
      <c r="C2">
        <v>0.99929999999999997</v>
      </c>
      <c r="D2">
        <v>0.99134572625166584</v>
      </c>
      <c r="E2">
        <v>41.115600000000001</v>
      </c>
      <c r="F2">
        <v>53.859200000000001</v>
      </c>
      <c r="G2">
        <v>41.115600000000001</v>
      </c>
      <c r="H2">
        <v>53.859200000000001</v>
      </c>
      <c r="I2">
        <v>0.14209181796433251</v>
      </c>
      <c r="K2">
        <v>15</v>
      </c>
      <c r="L2">
        <f>COUNTIFS(G2:G16,"&gt;=49,5",H2:H16,"&lt;=50,5")</f>
        <v>0</v>
      </c>
      <c r="M2" s="7">
        <f>L2/K2</f>
        <v>0</v>
      </c>
    </row>
    <row r="3" spans="1:13" x14ac:dyDescent="0.3">
      <c r="A3" s="1" t="s">
        <v>10</v>
      </c>
      <c r="B3">
        <v>0.99350000000000005</v>
      </c>
      <c r="C3">
        <v>1.0371999999999999</v>
      </c>
      <c r="D3">
        <v>1.0297292880258899</v>
      </c>
      <c r="E3">
        <v>8.3994999999999997</v>
      </c>
      <c r="F3">
        <v>57.1997</v>
      </c>
      <c r="G3">
        <v>8.3994999999999997</v>
      </c>
      <c r="H3">
        <v>57.1997</v>
      </c>
      <c r="I3">
        <v>0.22925198796433149</v>
      </c>
    </row>
    <row r="4" spans="1:13" x14ac:dyDescent="0.3">
      <c r="A4" s="1" t="s">
        <v>11</v>
      </c>
      <c r="B4">
        <v>0.99109999999999998</v>
      </c>
      <c r="C4">
        <v>1.0426</v>
      </c>
      <c r="D4">
        <v>1.034448077289168</v>
      </c>
      <c r="E4">
        <v>-0.49959999999999999</v>
      </c>
      <c r="F4">
        <v>58.356400000000001</v>
      </c>
      <c r="G4">
        <v>-0.49959999999999999</v>
      </c>
      <c r="H4">
        <v>58.356400000000001</v>
      </c>
      <c r="I4">
        <v>0.27476953048223801</v>
      </c>
    </row>
    <row r="5" spans="1:13" x14ac:dyDescent="0.3">
      <c r="A5" s="1" t="s">
        <v>12</v>
      </c>
      <c r="B5">
        <v>0.92479999999999996</v>
      </c>
      <c r="C5">
        <v>0.96279999999999999</v>
      </c>
      <c r="D5">
        <v>0.95601427279649742</v>
      </c>
      <c r="E5">
        <v>15.8375</v>
      </c>
      <c r="F5">
        <v>58.990200000000002</v>
      </c>
      <c r="G5">
        <v>15.8375</v>
      </c>
      <c r="H5">
        <v>58.990200000000002</v>
      </c>
      <c r="I5">
        <v>0.20948934024307539</v>
      </c>
    </row>
    <row r="6" spans="1:13" x14ac:dyDescent="0.3">
      <c r="A6" s="1" t="s">
        <v>13</v>
      </c>
      <c r="B6">
        <v>0.9546</v>
      </c>
      <c r="C6">
        <v>0.99060000000000004</v>
      </c>
      <c r="D6">
        <v>0.97983414239482203</v>
      </c>
      <c r="E6">
        <v>32.5443</v>
      </c>
      <c r="F6">
        <v>59.445700000000002</v>
      </c>
      <c r="G6">
        <v>32.5443</v>
      </c>
      <c r="H6">
        <v>59.445700000000002</v>
      </c>
      <c r="I6">
        <v>0.1640133992212788</v>
      </c>
    </row>
    <row r="7" spans="1:13" x14ac:dyDescent="0.3">
      <c r="A7" s="1" t="s">
        <v>14</v>
      </c>
      <c r="B7">
        <v>0.96140000000000003</v>
      </c>
      <c r="C7">
        <v>1.0017</v>
      </c>
      <c r="D7">
        <v>0.98971822767942141</v>
      </c>
      <c r="E7">
        <v>23.490300000000001</v>
      </c>
      <c r="F7">
        <v>60.535499999999999</v>
      </c>
      <c r="G7">
        <v>23.490300000000001</v>
      </c>
      <c r="H7">
        <v>60.535499999999999</v>
      </c>
      <c r="I7">
        <v>0.1966679391977694</v>
      </c>
    </row>
    <row r="8" spans="1:13" x14ac:dyDescent="0.3">
      <c r="A8" s="1" t="s">
        <v>15</v>
      </c>
      <c r="B8">
        <v>0.99299999999999999</v>
      </c>
      <c r="C8">
        <v>1.0004</v>
      </c>
      <c r="D8">
        <v>0.99839936702836474</v>
      </c>
      <c r="E8">
        <v>47.885599999999997</v>
      </c>
      <c r="F8">
        <v>51.179600000000001</v>
      </c>
      <c r="G8">
        <v>47.885599999999997</v>
      </c>
      <c r="H8">
        <v>51.179600000000001</v>
      </c>
      <c r="I8">
        <v>7.7882295777966778E-2</v>
      </c>
    </row>
    <row r="9" spans="1:13" x14ac:dyDescent="0.3">
      <c r="A9" s="1" t="s">
        <v>16</v>
      </c>
      <c r="B9">
        <v>1.0281</v>
      </c>
      <c r="C9">
        <v>1.0544</v>
      </c>
      <c r="D9">
        <v>1.048137421473444</v>
      </c>
      <c r="E9">
        <v>22.661999999999999</v>
      </c>
      <c r="F9">
        <v>53.8033</v>
      </c>
      <c r="G9">
        <v>22.661999999999999</v>
      </c>
      <c r="H9">
        <v>53.8033</v>
      </c>
      <c r="I9">
        <v>0.15920917570265461</v>
      </c>
    </row>
    <row r="10" spans="1:13" x14ac:dyDescent="0.3">
      <c r="A10" s="1" t="s">
        <v>17</v>
      </c>
      <c r="B10">
        <v>1.0466</v>
      </c>
      <c r="C10">
        <v>1.0521</v>
      </c>
      <c r="D10">
        <v>1.049617823148677</v>
      </c>
      <c r="E10">
        <v>49.3386</v>
      </c>
      <c r="F10">
        <v>50.594000000000001</v>
      </c>
      <c r="G10">
        <v>49.3386</v>
      </c>
      <c r="H10">
        <v>50.594000000000001</v>
      </c>
      <c r="I10">
        <v>7.3304191980002001E-2</v>
      </c>
    </row>
    <row r="11" spans="1:13" x14ac:dyDescent="0.3">
      <c r="A11" s="1" t="s">
        <v>18</v>
      </c>
      <c r="B11">
        <v>1.0044999999999999</v>
      </c>
      <c r="C11">
        <v>1.0119</v>
      </c>
      <c r="D11">
        <v>1.0099058014467921</v>
      </c>
      <c r="E11">
        <v>47.284100000000002</v>
      </c>
      <c r="F11">
        <v>51.259599999999999</v>
      </c>
      <c r="G11">
        <v>47.284100000000002</v>
      </c>
      <c r="H11">
        <v>51.259599999999999</v>
      </c>
      <c r="I11">
        <v>8.28596268254706E-2</v>
      </c>
    </row>
    <row r="12" spans="1:13" x14ac:dyDescent="0.3">
      <c r="A12" s="1" t="s">
        <v>19</v>
      </c>
      <c r="B12">
        <v>1.0388999999999999</v>
      </c>
      <c r="C12">
        <v>1.0416000000000001</v>
      </c>
      <c r="D12">
        <v>1.0401685655815729</v>
      </c>
      <c r="E12">
        <v>49.149700000000003</v>
      </c>
      <c r="F12">
        <v>50.244599999999998</v>
      </c>
      <c r="G12">
        <v>49.149700000000003</v>
      </c>
      <c r="H12">
        <v>50.244599999999998</v>
      </c>
      <c r="I12">
        <v>9.5082259525068241E-2</v>
      </c>
    </row>
    <row r="13" spans="1:13" x14ac:dyDescent="0.3">
      <c r="A13" s="1" t="s">
        <v>20</v>
      </c>
      <c r="B13">
        <v>1.0072000000000001</v>
      </c>
      <c r="C13">
        <v>1.0282</v>
      </c>
      <c r="D13">
        <v>1.0194318817818391</v>
      </c>
      <c r="E13">
        <v>45.757300000000001</v>
      </c>
      <c r="F13">
        <v>53.5304</v>
      </c>
      <c r="G13">
        <v>45.757300000000001</v>
      </c>
      <c r="H13">
        <v>53.5304</v>
      </c>
      <c r="I13">
        <v>9.6035621425956966E-2</v>
      </c>
    </row>
    <row r="14" spans="1:13" x14ac:dyDescent="0.3">
      <c r="A14" s="1" t="s">
        <v>21</v>
      </c>
      <c r="B14">
        <v>1.0338000000000001</v>
      </c>
      <c r="C14">
        <v>1.0423</v>
      </c>
      <c r="D14">
        <v>1.0398392585189411</v>
      </c>
      <c r="E14">
        <v>47.059399999999997</v>
      </c>
      <c r="F14">
        <v>51.426000000000002</v>
      </c>
      <c r="G14">
        <v>47.059399999999997</v>
      </c>
      <c r="H14">
        <v>51.426000000000002</v>
      </c>
      <c r="I14">
        <v>8.4596223345109842E-2</v>
      </c>
    </row>
    <row r="15" spans="1:13" x14ac:dyDescent="0.3">
      <c r="A15" s="1" t="s">
        <v>22</v>
      </c>
      <c r="B15">
        <v>1.0046999999999999</v>
      </c>
      <c r="C15">
        <v>1.0114000000000001</v>
      </c>
      <c r="D15">
        <v>1.009677707976395</v>
      </c>
      <c r="E15">
        <v>47.8</v>
      </c>
      <c r="F15">
        <v>51.046599999999998</v>
      </c>
      <c r="G15">
        <v>47.8</v>
      </c>
      <c r="H15">
        <v>51.046599999999998</v>
      </c>
      <c r="I15">
        <v>7.8669183147604627E-2</v>
      </c>
    </row>
    <row r="17" spans="1:9" x14ac:dyDescent="0.3">
      <c r="A17" s="4" t="s">
        <v>23</v>
      </c>
      <c r="B17" s="5">
        <f>MIN(B2:B15)</f>
        <v>0.92479999999999996</v>
      </c>
      <c r="C17" s="5">
        <f>MAX(C2:C15)</f>
        <v>1.0544</v>
      </c>
      <c r="D17" s="5">
        <f>AVERAGE(D2:D15)</f>
        <v>1.0140191115281065</v>
      </c>
      <c r="E17" s="5">
        <f>MIN(E2:E15)</f>
        <v>-0.49959999999999999</v>
      </c>
      <c r="F17" s="5">
        <f>MAX(F2:F15)</f>
        <v>60.535499999999999</v>
      </c>
      <c r="G17" s="5">
        <f>MIN(G2:G15)</f>
        <v>-0.49959999999999999</v>
      </c>
      <c r="H17" s="5">
        <f>MAX(H2:H15)</f>
        <v>60.535499999999999</v>
      </c>
      <c r="I17" s="5" cm="1">
        <f t="array" ref="I17">_xlfn.XLOOKUP(MAX(ABS(I2:I15)),ABS(I2:I15),I2:I15)</f>
        <v>0.27476953048223801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B9A4A-B109-4E31-A18A-F074FF641B0D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5546875" bestFit="1" customWidth="1"/>
    <col min="2" max="2" width="15.44140625" bestFit="1" customWidth="1"/>
    <col min="3" max="3" width="15.6640625" bestFit="1" customWidth="1"/>
    <col min="4" max="4" width="17" bestFit="1" customWidth="1"/>
    <col min="5" max="5" width="14.6640625" bestFit="1" customWidth="1"/>
    <col min="6" max="6" width="15" bestFit="1" customWidth="1"/>
    <col min="7" max="7" width="15.88671875" bestFit="1" customWidth="1"/>
    <col min="8" max="8" width="16.88671875" bestFit="1" customWidth="1"/>
    <col min="9" max="9" width="22.33203125" bestFit="1" customWidth="1"/>
    <col min="12" max="12" width="24.109375" bestFit="1" customWidth="1"/>
    <col min="13" max="13" width="19.5546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30</v>
      </c>
      <c r="L1" t="s">
        <v>31</v>
      </c>
      <c r="M1" t="s">
        <v>32</v>
      </c>
    </row>
    <row r="2" spans="1:13" x14ac:dyDescent="0.3">
      <c r="A2" s="1" t="s">
        <v>9</v>
      </c>
      <c r="B2">
        <v>0.97430000000000005</v>
      </c>
      <c r="C2">
        <v>0.99939999999999996</v>
      </c>
      <c r="D2">
        <v>0.99128043498952989</v>
      </c>
      <c r="E2">
        <v>44.177500000000002</v>
      </c>
      <c r="F2">
        <v>53.925400000000003</v>
      </c>
      <c r="G2">
        <v>44.177500000000002</v>
      </c>
      <c r="H2">
        <v>53.925400000000003</v>
      </c>
      <c r="I2">
        <v>0.12523137377098231</v>
      </c>
      <c r="K2">
        <v>15</v>
      </c>
      <c r="L2">
        <f>COUNTIFS(G2:G16,"&gt;=49,5",H2:H16,"&lt;=50,5")</f>
        <v>1</v>
      </c>
      <c r="M2" s="7">
        <f>L2/K2</f>
        <v>6.6666666666666666E-2</v>
      </c>
    </row>
    <row r="3" spans="1:13" x14ac:dyDescent="0.3">
      <c r="A3" s="1" t="s">
        <v>10</v>
      </c>
      <c r="B3">
        <v>0.99460000000000004</v>
      </c>
      <c r="C3">
        <v>1.0367999999999999</v>
      </c>
      <c r="D3">
        <v>1.029643360936608</v>
      </c>
      <c r="E3">
        <v>35.994100000000003</v>
      </c>
      <c r="F3">
        <v>57.362299999999998</v>
      </c>
      <c r="G3">
        <v>35.994100000000003</v>
      </c>
      <c r="H3">
        <v>57.362299999999998</v>
      </c>
      <c r="I3">
        <v>0.16786390447310631</v>
      </c>
    </row>
    <row r="4" spans="1:13" x14ac:dyDescent="0.3">
      <c r="A4" s="1" t="s">
        <v>11</v>
      </c>
      <c r="B4">
        <v>0.99199999999999999</v>
      </c>
      <c r="C4">
        <v>1.0432999999999999</v>
      </c>
      <c r="D4">
        <v>1.0343564772510949</v>
      </c>
      <c r="E4">
        <v>33.0717</v>
      </c>
      <c r="F4">
        <v>58.595500000000001</v>
      </c>
      <c r="G4">
        <v>33.0717</v>
      </c>
      <c r="H4">
        <v>58.595500000000001</v>
      </c>
      <c r="I4">
        <v>0.20018158249940479</v>
      </c>
    </row>
    <row r="5" spans="1:13" x14ac:dyDescent="0.3">
      <c r="A5" s="1" t="s">
        <v>12</v>
      </c>
      <c r="B5">
        <v>0.92710000000000004</v>
      </c>
      <c r="C5">
        <v>0.96389999999999998</v>
      </c>
      <c r="D5">
        <v>0.95570245573957746</v>
      </c>
      <c r="E5">
        <v>38.070999999999998</v>
      </c>
      <c r="F5">
        <v>58.566299999999998</v>
      </c>
      <c r="G5">
        <v>38.070999999999998</v>
      </c>
      <c r="H5">
        <v>58.566299999999998</v>
      </c>
      <c r="I5">
        <v>0.1617744068236735</v>
      </c>
    </row>
    <row r="6" spans="1:13" x14ac:dyDescent="0.3">
      <c r="A6" s="1" t="s">
        <v>13</v>
      </c>
      <c r="B6">
        <v>0.95920000000000005</v>
      </c>
      <c r="C6">
        <v>0.98880000000000001</v>
      </c>
      <c r="D6">
        <v>0.97949515990862368</v>
      </c>
      <c r="E6">
        <v>42.156700000000001</v>
      </c>
      <c r="F6">
        <v>57.932499999999997</v>
      </c>
      <c r="G6">
        <v>42.156700000000001</v>
      </c>
      <c r="H6">
        <v>57.932499999999997</v>
      </c>
      <c r="I6">
        <v>0.13100492154845639</v>
      </c>
    </row>
    <row r="7" spans="1:13" x14ac:dyDescent="0.3">
      <c r="A7" s="1" t="s">
        <v>14</v>
      </c>
      <c r="B7">
        <v>0.96819999999999995</v>
      </c>
      <c r="C7">
        <v>0.99980000000000002</v>
      </c>
      <c r="D7">
        <v>0.98946182657529047</v>
      </c>
      <c r="E7">
        <v>41.104300000000002</v>
      </c>
      <c r="F7">
        <v>58.462000000000003</v>
      </c>
      <c r="G7">
        <v>41.104300000000002</v>
      </c>
      <c r="H7">
        <v>58.462000000000003</v>
      </c>
      <c r="I7">
        <v>0.14452937969445701</v>
      </c>
    </row>
    <row r="8" spans="1:13" x14ac:dyDescent="0.3">
      <c r="A8" s="1" t="s">
        <v>15</v>
      </c>
      <c r="B8">
        <v>0.99399999999999999</v>
      </c>
      <c r="C8">
        <v>1.0004</v>
      </c>
      <c r="D8">
        <v>0.99834489815343608</v>
      </c>
      <c r="E8">
        <v>48.7059</v>
      </c>
      <c r="F8">
        <v>51.043900000000001</v>
      </c>
      <c r="G8">
        <v>48.7059</v>
      </c>
      <c r="H8">
        <v>51.043900000000001</v>
      </c>
      <c r="I8">
        <v>6.3070119562804117E-2</v>
      </c>
    </row>
    <row r="9" spans="1:13" x14ac:dyDescent="0.3">
      <c r="A9" s="1" t="s">
        <v>16</v>
      </c>
      <c r="B9">
        <v>1.0285</v>
      </c>
      <c r="C9">
        <v>1.054</v>
      </c>
      <c r="D9">
        <v>1.048075913763564</v>
      </c>
      <c r="E9">
        <v>40.761800000000001</v>
      </c>
      <c r="F9">
        <v>53.921100000000003</v>
      </c>
      <c r="G9">
        <v>40.761800000000001</v>
      </c>
      <c r="H9">
        <v>53.921100000000003</v>
      </c>
      <c r="I9">
        <v>0.1165148824775792</v>
      </c>
    </row>
    <row r="10" spans="1:13" x14ac:dyDescent="0.3">
      <c r="A10" s="1" t="s">
        <v>17</v>
      </c>
      <c r="B10">
        <v>1.0466</v>
      </c>
      <c r="C10">
        <v>1.0521</v>
      </c>
      <c r="D10">
        <v>1.04966569579288</v>
      </c>
      <c r="E10">
        <v>49.3279</v>
      </c>
      <c r="F10">
        <v>50.593800000000002</v>
      </c>
      <c r="G10">
        <v>49.3279</v>
      </c>
      <c r="H10">
        <v>50.593800000000002</v>
      </c>
      <c r="I10">
        <v>6.2254589558054317E-2</v>
      </c>
    </row>
    <row r="11" spans="1:13" x14ac:dyDescent="0.3">
      <c r="A11" s="1" t="s">
        <v>18</v>
      </c>
      <c r="B11">
        <v>1.0045999999999999</v>
      </c>
      <c r="C11">
        <v>1.0119</v>
      </c>
      <c r="D11">
        <v>1.009866009899105</v>
      </c>
      <c r="E11">
        <v>48.367800000000003</v>
      </c>
      <c r="F11">
        <v>51.277299999999997</v>
      </c>
      <c r="G11">
        <v>48.367800000000003</v>
      </c>
      <c r="H11">
        <v>51.277299999999997</v>
      </c>
      <c r="I11">
        <v>7.249595848304688E-2</v>
      </c>
    </row>
    <row r="12" spans="1:13" x14ac:dyDescent="0.3">
      <c r="A12" s="1" t="s">
        <v>19</v>
      </c>
      <c r="B12">
        <v>1.0388999999999999</v>
      </c>
      <c r="C12">
        <v>1.0416000000000001</v>
      </c>
      <c r="D12">
        <v>1.040160584427946</v>
      </c>
      <c r="E12">
        <v>49.6494</v>
      </c>
      <c r="F12">
        <v>50.244500000000002</v>
      </c>
      <c r="G12">
        <v>49.6494</v>
      </c>
      <c r="H12">
        <v>50.244500000000002</v>
      </c>
      <c r="I12">
        <v>8.097117083494966E-2</v>
      </c>
    </row>
    <row r="13" spans="1:13" x14ac:dyDescent="0.3">
      <c r="A13" s="1" t="s">
        <v>20</v>
      </c>
      <c r="B13">
        <v>1.0074000000000001</v>
      </c>
      <c r="C13">
        <v>1.0281</v>
      </c>
      <c r="D13">
        <v>1.019391390633924</v>
      </c>
      <c r="E13">
        <v>45.767400000000002</v>
      </c>
      <c r="F13">
        <v>53.53</v>
      </c>
      <c r="G13">
        <v>45.767400000000002</v>
      </c>
      <c r="H13">
        <v>53.53</v>
      </c>
      <c r="I13">
        <v>8.7795130944503766E-2</v>
      </c>
    </row>
    <row r="14" spans="1:13" x14ac:dyDescent="0.3">
      <c r="A14" s="1" t="s">
        <v>21</v>
      </c>
      <c r="B14">
        <v>1.0339</v>
      </c>
      <c r="C14">
        <v>1.0423</v>
      </c>
      <c r="D14">
        <v>1.039807000761469</v>
      </c>
      <c r="E14">
        <v>48.144500000000001</v>
      </c>
      <c r="F14">
        <v>51.448399999999999</v>
      </c>
      <c r="G14">
        <v>48.144500000000001</v>
      </c>
      <c r="H14">
        <v>51.448399999999999</v>
      </c>
      <c r="I14">
        <v>7.3934906147564691E-2</v>
      </c>
    </row>
    <row r="15" spans="1:13" x14ac:dyDescent="0.3">
      <c r="A15" s="1" t="s">
        <v>22</v>
      </c>
      <c r="B15">
        <v>1.0051000000000001</v>
      </c>
      <c r="C15">
        <v>1.0115000000000001</v>
      </c>
      <c r="D15">
        <v>1.009643560822387</v>
      </c>
      <c r="E15">
        <v>48.630299999999998</v>
      </c>
      <c r="F15">
        <v>51.0383</v>
      </c>
      <c r="G15">
        <v>48.630299999999998</v>
      </c>
      <c r="H15">
        <v>51.0383</v>
      </c>
      <c r="I15">
        <v>6.7064022609701526E-2</v>
      </c>
    </row>
    <row r="17" spans="1:9" x14ac:dyDescent="0.3">
      <c r="A17" s="4" t="s">
        <v>23</v>
      </c>
      <c r="B17" s="5">
        <f>MIN(B2:B15)</f>
        <v>0.92710000000000004</v>
      </c>
      <c r="C17" s="5">
        <f>MAX(C2:C15)</f>
        <v>1.054</v>
      </c>
      <c r="D17" s="5">
        <f>AVERAGE(D2:D15)</f>
        <v>1.0139210549753883</v>
      </c>
      <c r="E17" s="5">
        <f>MIN(E2:E15)</f>
        <v>33.0717</v>
      </c>
      <c r="F17" s="5">
        <f>MAX(F2:F15)</f>
        <v>58.595500000000001</v>
      </c>
      <c r="G17" s="5">
        <f>MIN(G2:G15)</f>
        <v>33.0717</v>
      </c>
      <c r="H17" s="5">
        <f>MAX(H2:H15)</f>
        <v>58.595500000000001</v>
      </c>
      <c r="I17" s="5" cm="1">
        <f t="array" ref="I17">_xlfn.XLOOKUP(MAX(ABS(I2:I15)),ABS(I2:I15),I2:I15)</f>
        <v>0.20018158249940479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232A5-EB7B-4111-BF72-207E584B31CB}">
  <dimension ref="A1:M17"/>
  <sheetViews>
    <sheetView workbookViewId="0">
      <selection activeCell="B17" sqref="B17:I17"/>
    </sheetView>
  </sheetViews>
  <sheetFormatPr baseColWidth="10" defaultRowHeight="14.4" x14ac:dyDescent="0.3"/>
  <cols>
    <col min="1" max="1" width="17.5546875" bestFit="1" customWidth="1"/>
    <col min="2" max="2" width="15.44140625" bestFit="1" customWidth="1"/>
    <col min="3" max="3" width="15.6640625" bestFit="1" customWidth="1"/>
    <col min="4" max="4" width="17" bestFit="1" customWidth="1"/>
    <col min="5" max="5" width="14.6640625" bestFit="1" customWidth="1"/>
    <col min="6" max="6" width="15" bestFit="1" customWidth="1"/>
    <col min="7" max="7" width="15.88671875" bestFit="1" customWidth="1"/>
    <col min="8" max="8" width="16.88671875" bestFit="1" customWidth="1"/>
    <col min="9" max="9" width="22.33203125" bestFit="1" customWidth="1"/>
    <col min="11" max="11" width="16.44140625" bestFit="1" customWidth="1"/>
    <col min="12" max="12" width="24.109375" bestFit="1" customWidth="1"/>
    <col min="13" max="13" width="19.5546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30</v>
      </c>
      <c r="L1" t="s">
        <v>31</v>
      </c>
      <c r="M1" t="s">
        <v>32</v>
      </c>
    </row>
    <row r="2" spans="1:13" x14ac:dyDescent="0.3">
      <c r="A2" s="1" t="s">
        <v>9</v>
      </c>
      <c r="B2">
        <v>0.96709999999999996</v>
      </c>
      <c r="C2">
        <v>0.99199999999999999</v>
      </c>
      <c r="D2">
        <v>0.98324256615267469</v>
      </c>
      <c r="E2">
        <v>44.153799999999997</v>
      </c>
      <c r="F2">
        <v>53.971600000000002</v>
      </c>
      <c r="G2">
        <v>44.153799999999997</v>
      </c>
      <c r="H2">
        <v>53.971600000000002</v>
      </c>
      <c r="I2">
        <v>0.11302362506831511</v>
      </c>
      <c r="K2">
        <v>15</v>
      </c>
      <c r="L2">
        <f>COUNTIFS(G2:G16,"&gt;=49,5",H2:H16,"&lt;=50,5")</f>
        <v>1</v>
      </c>
      <c r="M2" s="7">
        <f>L2/K2</f>
        <v>6.6666666666666666E-2</v>
      </c>
    </row>
    <row r="3" spans="1:13" x14ac:dyDescent="0.3">
      <c r="A3" s="1" t="s">
        <v>10</v>
      </c>
      <c r="B3">
        <v>0.99529999999999996</v>
      </c>
      <c r="C3">
        <v>1.0379</v>
      </c>
      <c r="D3">
        <v>1.0293684799162379</v>
      </c>
      <c r="E3">
        <v>37.467199999999998</v>
      </c>
      <c r="F3">
        <v>57.350900000000003</v>
      </c>
      <c r="G3">
        <v>37.467199999999998</v>
      </c>
      <c r="H3">
        <v>57.350900000000003</v>
      </c>
      <c r="I3">
        <v>0.15811828261891309</v>
      </c>
    </row>
    <row r="4" spans="1:13" x14ac:dyDescent="0.3">
      <c r="A4" s="1" t="s">
        <v>11</v>
      </c>
      <c r="B4">
        <v>0.98519999999999996</v>
      </c>
      <c r="C4">
        <v>1.0370999999999999</v>
      </c>
      <c r="D4">
        <v>1.0265082286312579</v>
      </c>
      <c r="E4">
        <v>34.846699999999998</v>
      </c>
      <c r="F4">
        <v>58.752600000000001</v>
      </c>
      <c r="G4">
        <v>34.846699999999998</v>
      </c>
      <c r="H4">
        <v>58.752600000000001</v>
      </c>
      <c r="I4">
        <v>0.19152900099095671</v>
      </c>
    </row>
    <row r="5" spans="1:13" x14ac:dyDescent="0.3">
      <c r="A5" s="1" t="s">
        <v>12</v>
      </c>
      <c r="B5">
        <v>0.92459999999999998</v>
      </c>
      <c r="C5">
        <v>0.96099999999999997</v>
      </c>
      <c r="D5">
        <v>0.95223515134209036</v>
      </c>
      <c r="E5">
        <v>38.477800000000002</v>
      </c>
      <c r="F5">
        <v>57.958500000000001</v>
      </c>
      <c r="G5">
        <v>38.477800000000002</v>
      </c>
      <c r="H5">
        <v>57.958500000000001</v>
      </c>
      <c r="I5">
        <v>0.15163106373308161</v>
      </c>
    </row>
    <row r="6" spans="1:13" x14ac:dyDescent="0.3">
      <c r="A6" s="1" t="s">
        <v>13</v>
      </c>
      <c r="B6">
        <v>0.96089999999999998</v>
      </c>
      <c r="C6">
        <v>0.98770000000000002</v>
      </c>
      <c r="D6">
        <v>0.97953905863316204</v>
      </c>
      <c r="E6">
        <v>42.943899999999999</v>
      </c>
      <c r="F6">
        <v>56.283000000000001</v>
      </c>
      <c r="G6">
        <v>42.943899999999999</v>
      </c>
      <c r="H6">
        <v>56.283000000000001</v>
      </c>
      <c r="I6">
        <v>0.1148357418472965</v>
      </c>
    </row>
    <row r="7" spans="1:13" x14ac:dyDescent="0.3">
      <c r="A7" s="1" t="s">
        <v>14</v>
      </c>
      <c r="B7">
        <v>0.96940000000000004</v>
      </c>
      <c r="C7">
        <v>0.99850000000000005</v>
      </c>
      <c r="D7">
        <v>0.98936634780125643</v>
      </c>
      <c r="E7">
        <v>40.640700000000002</v>
      </c>
      <c r="F7">
        <v>57.181899999999999</v>
      </c>
      <c r="G7">
        <v>40.640700000000002</v>
      </c>
      <c r="H7">
        <v>57.181899999999999</v>
      </c>
      <c r="I7">
        <v>0.13236288633521071</v>
      </c>
    </row>
    <row r="8" spans="1:13" x14ac:dyDescent="0.3">
      <c r="A8" s="1" t="s">
        <v>15</v>
      </c>
      <c r="B8">
        <v>0.99490000000000001</v>
      </c>
      <c r="C8">
        <v>1.0004</v>
      </c>
      <c r="D8">
        <v>0.99823485151342073</v>
      </c>
      <c r="E8">
        <v>48.852899999999998</v>
      </c>
      <c r="F8">
        <v>50.919800000000002</v>
      </c>
      <c r="G8">
        <v>48.852899999999998</v>
      </c>
      <c r="H8">
        <v>50.919800000000002</v>
      </c>
      <c r="I8">
        <v>4.5647197783887768E-2</v>
      </c>
    </row>
    <row r="9" spans="1:13" x14ac:dyDescent="0.3">
      <c r="A9" s="1" t="s">
        <v>16</v>
      </c>
      <c r="B9">
        <v>1.0287999999999999</v>
      </c>
      <c r="C9">
        <v>1.054</v>
      </c>
      <c r="D9">
        <v>1.047964777270131</v>
      </c>
      <c r="E9">
        <v>41.607999999999997</v>
      </c>
      <c r="F9">
        <v>53.9512</v>
      </c>
      <c r="G9">
        <v>41.607999999999997</v>
      </c>
      <c r="H9">
        <v>53.9512</v>
      </c>
      <c r="I9">
        <v>0.10890050557765089</v>
      </c>
    </row>
    <row r="10" spans="1:13" x14ac:dyDescent="0.3">
      <c r="A10" s="1" t="s">
        <v>17</v>
      </c>
      <c r="B10">
        <v>1.0467</v>
      </c>
      <c r="C10">
        <v>1.052</v>
      </c>
      <c r="D10">
        <v>1.0491385398819719</v>
      </c>
      <c r="E10">
        <v>49.3401</v>
      </c>
      <c r="F10">
        <v>50.661000000000001</v>
      </c>
      <c r="G10">
        <v>49.3401</v>
      </c>
      <c r="H10">
        <v>50.661000000000001</v>
      </c>
      <c r="I10">
        <v>4.3597961167665872E-2</v>
      </c>
    </row>
    <row r="11" spans="1:13" x14ac:dyDescent="0.3">
      <c r="A11" s="1" t="s">
        <v>18</v>
      </c>
      <c r="B11">
        <v>1.0054000000000001</v>
      </c>
      <c r="C11">
        <v>1.0119</v>
      </c>
      <c r="D11">
        <v>1.0096863887302501</v>
      </c>
      <c r="E11">
        <v>48.4953</v>
      </c>
      <c r="F11">
        <v>51.180599999999998</v>
      </c>
      <c r="G11">
        <v>48.4953</v>
      </c>
      <c r="H11">
        <v>51.180599999999998</v>
      </c>
      <c r="I11">
        <v>5.7412958241442547E-2</v>
      </c>
    </row>
    <row r="12" spans="1:13" x14ac:dyDescent="0.3">
      <c r="A12" s="1" t="s">
        <v>19</v>
      </c>
      <c r="B12">
        <v>1.0388999999999999</v>
      </c>
      <c r="C12">
        <v>1.0410999999999999</v>
      </c>
      <c r="D12">
        <v>1.039774662097849</v>
      </c>
      <c r="E12">
        <v>49.716000000000001</v>
      </c>
      <c r="F12">
        <v>50.302799999999998</v>
      </c>
      <c r="G12">
        <v>49.716000000000001</v>
      </c>
      <c r="H12">
        <v>50.302799999999998</v>
      </c>
      <c r="I12">
        <v>2.699451018622262E-2</v>
      </c>
    </row>
    <row r="13" spans="1:13" x14ac:dyDescent="0.3">
      <c r="A13" s="1" t="s">
        <v>20</v>
      </c>
      <c r="B13">
        <v>1.0079</v>
      </c>
      <c r="C13">
        <v>1.0276000000000001</v>
      </c>
      <c r="D13">
        <v>1.018976561012755</v>
      </c>
      <c r="E13">
        <v>45.769599999999997</v>
      </c>
      <c r="F13">
        <v>53.551699999999997</v>
      </c>
      <c r="G13">
        <v>45.769599999999997</v>
      </c>
      <c r="H13">
        <v>53.551699999999997</v>
      </c>
      <c r="I13">
        <v>7.3937781557598073E-2</v>
      </c>
    </row>
    <row r="14" spans="1:13" x14ac:dyDescent="0.3">
      <c r="A14" s="1" t="s">
        <v>21</v>
      </c>
      <c r="B14">
        <v>1.0345</v>
      </c>
      <c r="C14">
        <v>1.0423</v>
      </c>
      <c r="D14">
        <v>1.0395841614315631</v>
      </c>
      <c r="E14">
        <v>48.218600000000002</v>
      </c>
      <c r="F14">
        <v>51.398299999999999</v>
      </c>
      <c r="G14">
        <v>48.218600000000002</v>
      </c>
      <c r="H14">
        <v>51.398299999999999</v>
      </c>
      <c r="I14">
        <v>6.0100562211617421E-2</v>
      </c>
    </row>
    <row r="15" spans="1:13" x14ac:dyDescent="0.3">
      <c r="A15" s="1" t="s">
        <v>22</v>
      </c>
      <c r="B15">
        <v>1.0067999999999999</v>
      </c>
      <c r="C15">
        <v>1.0114000000000001</v>
      </c>
      <c r="D15">
        <v>1.0095723967256811</v>
      </c>
      <c r="E15">
        <v>48.9833</v>
      </c>
      <c r="F15">
        <v>50.776899999999998</v>
      </c>
      <c r="G15">
        <v>48.9833</v>
      </c>
      <c r="H15">
        <v>50.776899999999998</v>
      </c>
      <c r="I15">
        <v>4.5390479665842531E-2</v>
      </c>
    </row>
    <row r="17" spans="1:9" x14ac:dyDescent="0.3">
      <c r="A17" s="4" t="s">
        <v>23</v>
      </c>
      <c r="B17" s="5">
        <f>MIN(B2:B15)</f>
        <v>0.92459999999999998</v>
      </c>
      <c r="C17" s="5">
        <f>MAX(C2:C15)</f>
        <v>1.054</v>
      </c>
      <c r="D17" s="5">
        <f>AVERAGE(D2:D15)</f>
        <v>1.0123708693671643</v>
      </c>
      <c r="E17" s="5">
        <f>MIN(E2:E15)</f>
        <v>34.846699999999998</v>
      </c>
      <c r="F17" s="5">
        <f>MAX(F2:F15)</f>
        <v>58.752600000000001</v>
      </c>
      <c r="G17" s="5">
        <f>MIN(G2:G15)</f>
        <v>34.846699999999998</v>
      </c>
      <c r="H17" s="5">
        <f>MAX(H2:H15)</f>
        <v>58.752600000000001</v>
      </c>
      <c r="I17" s="5" cm="1">
        <f t="array" ref="I17">_xlfn.XLOOKUP(MAX(ABS(I2:I15)),ABS(I2:I15),I2:I15)</f>
        <v>0.19152900099095671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2B4E-3846-42BE-A3E3-B4E6B5D73747}">
  <dimension ref="A1:M17"/>
  <sheetViews>
    <sheetView workbookViewId="0">
      <selection activeCell="I17" sqref="I17"/>
    </sheetView>
  </sheetViews>
  <sheetFormatPr baseColWidth="10" defaultRowHeight="14.4" x14ac:dyDescent="0.3"/>
  <cols>
    <col min="1" max="1" width="20.44140625" bestFit="1" customWidth="1"/>
    <col min="2" max="2" width="15.44140625" bestFit="1" customWidth="1"/>
    <col min="3" max="3" width="15.6640625" bestFit="1" customWidth="1"/>
    <col min="4" max="4" width="17" bestFit="1" customWidth="1"/>
    <col min="5" max="5" width="14.6640625" bestFit="1" customWidth="1"/>
    <col min="6" max="6" width="15" bestFit="1" customWidth="1"/>
    <col min="7" max="7" width="15.88671875" bestFit="1" customWidth="1"/>
    <col min="8" max="8" width="16.88671875" bestFit="1" customWidth="1"/>
    <col min="9" max="9" width="22.33203125" bestFit="1" customWidth="1"/>
    <col min="11" max="11" width="16.44140625" bestFit="1" customWidth="1"/>
    <col min="12" max="12" width="24.109375" bestFit="1" customWidth="1"/>
    <col min="13" max="13" width="19.5546875" bestFit="1" customWidth="1"/>
  </cols>
  <sheetData>
    <row r="1" spans="1:13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K1" t="s">
        <v>30</v>
      </c>
      <c r="L1" t="s">
        <v>31</v>
      </c>
      <c r="M1" t="s">
        <v>32</v>
      </c>
    </row>
    <row r="2" spans="1:13" x14ac:dyDescent="0.3">
      <c r="A2" s="1" t="s">
        <v>9</v>
      </c>
      <c r="B2">
        <v>0.96689999999999998</v>
      </c>
      <c r="C2">
        <v>0.99309999999999998</v>
      </c>
      <c r="D2">
        <v>0.98261342566152665</v>
      </c>
      <c r="E2">
        <v>44.021700000000003</v>
      </c>
      <c r="F2">
        <v>54.303100000000001</v>
      </c>
      <c r="G2">
        <v>44.021700000000003</v>
      </c>
      <c r="H2">
        <v>54.303100000000001</v>
      </c>
      <c r="I2">
        <v>9.8718274355500943E-2</v>
      </c>
      <c r="K2">
        <v>15</v>
      </c>
      <c r="L2">
        <f>COUNTIFS(G2:G16,"&gt;=49,5",H2:H16,"&lt;=50,5")</f>
        <v>2</v>
      </c>
      <c r="M2" s="7">
        <f>L2/K2</f>
        <v>0.13333333333333333</v>
      </c>
    </row>
    <row r="3" spans="1:13" x14ac:dyDescent="0.3">
      <c r="A3" s="1" t="s">
        <v>10</v>
      </c>
      <c r="B3">
        <v>0.99529999999999996</v>
      </c>
      <c r="C3">
        <v>1.038</v>
      </c>
      <c r="D3">
        <v>1.028941233580811</v>
      </c>
      <c r="E3">
        <v>38.299100000000003</v>
      </c>
      <c r="F3">
        <v>57.351799999999997</v>
      </c>
      <c r="G3">
        <v>38.299100000000003</v>
      </c>
      <c r="H3">
        <v>57.351799999999997</v>
      </c>
      <c r="I3">
        <v>0.1515672293018937</v>
      </c>
    </row>
    <row r="4" spans="1:13" x14ac:dyDescent="0.3">
      <c r="A4" s="1" t="s">
        <v>11</v>
      </c>
      <c r="B4">
        <v>0.98529999999999995</v>
      </c>
      <c r="C4">
        <v>1.0373000000000001</v>
      </c>
      <c r="D4">
        <v>1.025995645345517</v>
      </c>
      <c r="E4">
        <v>35.846200000000003</v>
      </c>
      <c r="F4">
        <v>58.753300000000003</v>
      </c>
      <c r="G4">
        <v>35.846200000000003</v>
      </c>
      <c r="H4">
        <v>58.753300000000003</v>
      </c>
      <c r="I4">
        <v>0.18442709251850939</v>
      </c>
    </row>
    <row r="5" spans="1:13" x14ac:dyDescent="0.3">
      <c r="A5" s="1" t="s">
        <v>12</v>
      </c>
      <c r="B5">
        <v>0.92469999999999997</v>
      </c>
      <c r="C5">
        <v>0.96109999999999995</v>
      </c>
      <c r="D5">
        <v>0.95194009613554165</v>
      </c>
      <c r="E5">
        <v>39.291400000000003</v>
      </c>
      <c r="F5">
        <v>57.959299999999999</v>
      </c>
      <c r="G5">
        <v>39.291400000000003</v>
      </c>
      <c r="H5">
        <v>57.959299999999999</v>
      </c>
      <c r="I5">
        <v>0.14556315008992299</v>
      </c>
    </row>
    <row r="6" spans="1:13" x14ac:dyDescent="0.3">
      <c r="A6" s="1" t="s">
        <v>13</v>
      </c>
      <c r="B6">
        <v>0.96089999999999998</v>
      </c>
      <c r="C6">
        <v>0.98740000000000006</v>
      </c>
      <c r="D6">
        <v>0.97931500095183721</v>
      </c>
      <c r="E6">
        <v>43.390799999999999</v>
      </c>
      <c r="F6">
        <v>56.2834</v>
      </c>
      <c r="G6">
        <v>43.390799999999999</v>
      </c>
      <c r="H6">
        <v>56.2834</v>
      </c>
      <c r="I6">
        <v>0.1100638815203021</v>
      </c>
    </row>
    <row r="7" spans="1:13" x14ac:dyDescent="0.3">
      <c r="A7" s="1" t="s">
        <v>14</v>
      </c>
      <c r="B7">
        <v>0.96940000000000004</v>
      </c>
      <c r="C7">
        <v>0.99819999999999998</v>
      </c>
      <c r="D7">
        <v>0.98916344945745294</v>
      </c>
      <c r="E7">
        <v>41.340400000000002</v>
      </c>
      <c r="F7">
        <v>57.182600000000001</v>
      </c>
      <c r="G7">
        <v>41.340400000000002</v>
      </c>
      <c r="H7">
        <v>57.182600000000001</v>
      </c>
      <c r="I7">
        <v>0.12717972230008609</v>
      </c>
    </row>
    <row r="8" spans="1:13" x14ac:dyDescent="0.3">
      <c r="A8" s="1" t="s">
        <v>15</v>
      </c>
      <c r="B8">
        <v>0.99580000000000002</v>
      </c>
      <c r="C8">
        <v>1.0004</v>
      </c>
      <c r="D8">
        <v>0.99823175328383784</v>
      </c>
      <c r="E8">
        <v>48.9465</v>
      </c>
      <c r="F8">
        <v>50.8476</v>
      </c>
      <c r="G8">
        <v>48.9465</v>
      </c>
      <c r="H8">
        <v>50.8476</v>
      </c>
      <c r="I8">
        <v>2.8652965374220699E-2</v>
      </c>
    </row>
    <row r="9" spans="1:13" x14ac:dyDescent="0.3">
      <c r="A9" s="1" t="s">
        <v>16</v>
      </c>
      <c r="B9">
        <v>1.0287999999999999</v>
      </c>
      <c r="C9">
        <v>1.0537000000000001</v>
      </c>
      <c r="D9">
        <v>1.047680030458785</v>
      </c>
      <c r="E9">
        <v>42.152500000000003</v>
      </c>
      <c r="F9">
        <v>53.951900000000002</v>
      </c>
      <c r="G9">
        <v>42.152500000000003</v>
      </c>
      <c r="H9">
        <v>53.951900000000002</v>
      </c>
      <c r="I9">
        <v>0.1037254969252796</v>
      </c>
    </row>
    <row r="10" spans="1:13" x14ac:dyDescent="0.3">
      <c r="A10" s="1" t="s">
        <v>17</v>
      </c>
      <c r="B10">
        <v>1.0483</v>
      </c>
      <c r="C10">
        <v>1.0510999999999999</v>
      </c>
      <c r="D10">
        <v>1.049597634684942</v>
      </c>
      <c r="E10">
        <v>49.637900000000002</v>
      </c>
      <c r="F10">
        <v>50.353400000000001</v>
      </c>
      <c r="G10">
        <v>49.637900000000002</v>
      </c>
      <c r="H10">
        <v>50.353400000000001</v>
      </c>
      <c r="I10">
        <v>1.160201706893476E-2</v>
      </c>
    </row>
    <row r="11" spans="1:13" x14ac:dyDescent="0.3">
      <c r="A11" s="1" t="s">
        <v>18</v>
      </c>
      <c r="B11">
        <v>1.0074000000000001</v>
      </c>
      <c r="C11">
        <v>1.0114000000000001</v>
      </c>
      <c r="D11">
        <v>1.009796716162193</v>
      </c>
      <c r="E11">
        <v>49.023699999999998</v>
      </c>
      <c r="F11">
        <v>50.766399999999997</v>
      </c>
      <c r="G11">
        <v>49.023699999999998</v>
      </c>
      <c r="H11">
        <v>50.766399999999997</v>
      </c>
      <c r="I11">
        <v>2.8198394437176599E-2</v>
      </c>
    </row>
    <row r="12" spans="1:13" x14ac:dyDescent="0.3">
      <c r="A12" s="1" t="s">
        <v>19</v>
      </c>
      <c r="B12">
        <v>1.0390999999999999</v>
      </c>
      <c r="C12">
        <v>1.0407</v>
      </c>
      <c r="D12">
        <v>1.039854264229964</v>
      </c>
      <c r="E12">
        <v>49.822699999999998</v>
      </c>
      <c r="F12">
        <v>50.173099999999998</v>
      </c>
      <c r="G12">
        <v>49.822699999999998</v>
      </c>
      <c r="H12">
        <v>50.173099999999998</v>
      </c>
      <c r="I12">
        <v>6.6485777402950381E-3</v>
      </c>
    </row>
    <row r="13" spans="1:13" x14ac:dyDescent="0.3">
      <c r="A13" s="1" t="s">
        <v>20</v>
      </c>
      <c r="B13">
        <v>1.0101</v>
      </c>
      <c r="C13">
        <v>1.0268999999999999</v>
      </c>
      <c r="D13">
        <v>1.0189570911859891</v>
      </c>
      <c r="E13">
        <v>46.506900000000002</v>
      </c>
      <c r="F13">
        <v>53.109900000000003</v>
      </c>
      <c r="G13">
        <v>46.506900000000002</v>
      </c>
      <c r="H13">
        <v>53.109900000000003</v>
      </c>
      <c r="I13">
        <v>-5.604203600226873E-2</v>
      </c>
    </row>
    <row r="14" spans="1:13" x14ac:dyDescent="0.3">
      <c r="A14" s="1" t="s">
        <v>21</v>
      </c>
      <c r="B14">
        <v>1.0368999999999999</v>
      </c>
      <c r="C14">
        <v>1.0417000000000001</v>
      </c>
      <c r="D14">
        <v>1.0396760517799351</v>
      </c>
      <c r="E14">
        <v>48.849899999999998</v>
      </c>
      <c r="F14">
        <v>50.904699999999998</v>
      </c>
      <c r="G14">
        <v>48.849899999999998</v>
      </c>
      <c r="H14">
        <v>50.904699999999998</v>
      </c>
      <c r="I14">
        <v>3.0404893519937151E-2</v>
      </c>
    </row>
    <row r="15" spans="1:13" x14ac:dyDescent="0.3">
      <c r="A15" s="1" t="s">
        <v>22</v>
      </c>
      <c r="B15">
        <v>1.0074000000000001</v>
      </c>
      <c r="C15">
        <v>1.0113000000000001</v>
      </c>
      <c r="D15">
        <v>1.0095646487721299</v>
      </c>
      <c r="E15">
        <v>49.089599999999997</v>
      </c>
      <c r="F15">
        <v>50.706099999999999</v>
      </c>
      <c r="G15">
        <v>49.089599999999997</v>
      </c>
      <c r="H15">
        <v>50.706099999999999</v>
      </c>
      <c r="I15">
        <v>2.7793083699695059E-2</v>
      </c>
    </row>
    <row r="17" spans="1:9" x14ac:dyDescent="0.3">
      <c r="A17" s="4" t="s">
        <v>23</v>
      </c>
      <c r="B17" s="5">
        <f>MIN(B2:B15)</f>
        <v>0.92469999999999997</v>
      </c>
      <c r="C17" s="5">
        <f>MAX(C2:C15)</f>
        <v>1.0537000000000001</v>
      </c>
      <c r="D17" s="5">
        <f>AVERAGE(D2:D15)</f>
        <v>1.0122376458350328</v>
      </c>
      <c r="E17" s="5">
        <f>MIN(E2:E15)</f>
        <v>35.846200000000003</v>
      </c>
      <c r="F17" s="5">
        <f>MAX(F2:F15)</f>
        <v>58.753300000000003</v>
      </c>
      <c r="G17" s="5">
        <f>MIN(G2:G15)</f>
        <v>35.846200000000003</v>
      </c>
      <c r="H17" s="5">
        <f>MAX(H2:H15)</f>
        <v>58.753300000000003</v>
      </c>
      <c r="I17" s="5" cm="1">
        <f t="array" ref="I17">_xlfn.XLOOKUP(MAX(ABS(I2:I15)),ABS(I2:I15),I2:I15)</f>
        <v>0.18442709251850939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3FF5A-AEAC-470F-B191-F3CACC1B613D}">
  <dimension ref="C3:J8"/>
  <sheetViews>
    <sheetView showGridLines="0" tabSelected="1" workbookViewId="0">
      <selection activeCell="J3" sqref="J3:J8"/>
    </sheetView>
  </sheetViews>
  <sheetFormatPr baseColWidth="10" defaultRowHeight="14.4" x14ac:dyDescent="0.3"/>
  <cols>
    <col min="3" max="3" width="16.109375" bestFit="1" customWidth="1"/>
    <col min="4" max="4" width="15.44140625" bestFit="1" customWidth="1"/>
    <col min="5" max="5" width="15.6640625" bestFit="1" customWidth="1"/>
    <col min="6" max="6" width="17" bestFit="1" customWidth="1"/>
    <col min="7" max="7" width="15.88671875" bestFit="1" customWidth="1"/>
    <col min="8" max="8" width="16.88671875" bestFit="1" customWidth="1"/>
    <col min="9" max="9" width="22.33203125" bestFit="1" customWidth="1"/>
    <col min="10" max="10" width="39.6640625" bestFit="1" customWidth="1"/>
  </cols>
  <sheetData>
    <row r="3" spans="3:10" x14ac:dyDescent="0.3">
      <c r="C3" s="3" t="s">
        <v>24</v>
      </c>
      <c r="D3" s="3" t="s">
        <v>1</v>
      </c>
      <c r="E3" s="3" t="s">
        <v>2</v>
      </c>
      <c r="F3" s="3" t="s">
        <v>3</v>
      </c>
      <c r="G3" s="3" t="s">
        <v>6</v>
      </c>
      <c r="H3" s="3" t="s">
        <v>7</v>
      </c>
      <c r="I3" s="3" t="s">
        <v>8</v>
      </c>
      <c r="J3" s="3" t="s">
        <v>33</v>
      </c>
    </row>
    <row r="4" spans="3:10" x14ac:dyDescent="0.3">
      <c r="C4" t="s">
        <v>25</v>
      </c>
      <c r="D4" s="6">
        <v>0.92169999999999996</v>
      </c>
      <c r="E4" s="6">
        <v>1.0550999999999999</v>
      </c>
      <c r="F4" s="6">
        <v>1.0139292292472653</v>
      </c>
      <c r="G4" s="6">
        <v>39.008099999999999</v>
      </c>
      <c r="H4" s="6">
        <v>61.580399999999997</v>
      </c>
      <c r="I4" s="6">
        <v>0.17140915846092089</v>
      </c>
      <c r="J4" s="7" cm="1">
        <f t="array" ref="J4">Tabla7[Porcentaje dentro]</f>
        <v>6.6666666666666666E-2</v>
      </c>
    </row>
    <row r="5" spans="3:10" x14ac:dyDescent="0.3">
      <c r="C5" t="s">
        <v>26</v>
      </c>
      <c r="D5" s="6">
        <v>0.92479999999999996</v>
      </c>
      <c r="E5" s="6">
        <v>1.0544</v>
      </c>
      <c r="F5" s="6">
        <v>1.0140191115281065</v>
      </c>
      <c r="G5" s="6">
        <v>-0.49959999999999999</v>
      </c>
      <c r="H5" s="6">
        <v>60.535499999999999</v>
      </c>
      <c r="I5" s="6">
        <v>0.27476953048223801</v>
      </c>
      <c r="J5" s="7" cm="1">
        <f t="array" ref="J5">Tabla79[Porcentaje dentro]</f>
        <v>0</v>
      </c>
    </row>
    <row r="6" spans="3:10" x14ac:dyDescent="0.3">
      <c r="C6" t="s">
        <v>27</v>
      </c>
      <c r="D6" s="6">
        <v>0.92710000000000004</v>
      </c>
      <c r="E6" s="6">
        <v>1.054</v>
      </c>
      <c r="F6" s="6">
        <v>1.0139210549753883</v>
      </c>
      <c r="G6" s="6">
        <v>33.0717</v>
      </c>
      <c r="H6" s="6">
        <v>58.595500000000001</v>
      </c>
      <c r="I6" s="6">
        <v>0.20018158249940479</v>
      </c>
      <c r="J6" s="7" cm="1">
        <f t="array" ref="J6">Tabla710[Porcentaje dentro]</f>
        <v>6.6666666666666666E-2</v>
      </c>
    </row>
    <row r="7" spans="3:10" x14ac:dyDescent="0.3">
      <c r="C7" t="s">
        <v>28</v>
      </c>
      <c r="D7" s="6">
        <v>0.92459999999999998</v>
      </c>
      <c r="E7" s="6">
        <v>1.054</v>
      </c>
      <c r="F7" s="6">
        <v>1.0123708693671643</v>
      </c>
      <c r="G7" s="6">
        <v>34.846699999999998</v>
      </c>
      <c r="H7" s="6">
        <v>58.752600000000001</v>
      </c>
      <c r="I7" s="6">
        <v>0.19152900099095671</v>
      </c>
      <c r="J7" s="7" cm="1">
        <f t="array" ref="J7">Tabla711[Porcentaje dentro]</f>
        <v>6.6666666666666666E-2</v>
      </c>
    </row>
    <row r="8" spans="3:10" x14ac:dyDescent="0.3">
      <c r="C8" t="s">
        <v>29</v>
      </c>
      <c r="D8" s="6">
        <v>0.92469999999999997</v>
      </c>
      <c r="E8" s="6">
        <v>1.0537000000000001</v>
      </c>
      <c r="F8" s="6">
        <v>1.0122376458350328</v>
      </c>
      <c r="G8" s="6">
        <v>35.846200000000003</v>
      </c>
      <c r="H8" s="6">
        <v>58.753300000000003</v>
      </c>
      <c r="I8" s="6">
        <v>0.18442709251850939</v>
      </c>
      <c r="J8" s="7" cm="1">
        <f t="array" ref="J8">Tabla712[Porcentaje dentro]</f>
        <v>0.13333333333333333</v>
      </c>
    </row>
  </sheetData>
  <pageMargins left="0.7" right="0.7" top="0.75" bottom="0.75" header="0.3" footer="0.3"/>
  <ignoredErrors>
    <ignoredError sqref="J6:J8" calculatedColumn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Caso base</vt:lpstr>
      <vt:lpstr>Reemplazo 25%</vt:lpstr>
      <vt:lpstr>Reemplazo 50%</vt:lpstr>
      <vt:lpstr>Reemplazo 75%</vt:lpstr>
      <vt:lpstr>Reemplazo 100%</vt:lpstr>
      <vt:lpstr>Promedio por caso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Alberto Camousseight Palacios (n.camousseight)</dc:creator>
  <cp:lastModifiedBy>Nicolás Alberto Camousseight Palacios (n.camousseight)</cp:lastModifiedBy>
  <dcterms:created xsi:type="dcterms:W3CDTF">2026-05-28T03:29:08Z</dcterms:created>
  <dcterms:modified xsi:type="dcterms:W3CDTF">2026-06-13T22:46:22Z</dcterms:modified>
</cp:coreProperties>
</file>