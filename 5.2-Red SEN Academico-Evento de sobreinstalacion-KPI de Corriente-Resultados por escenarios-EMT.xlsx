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46697D2A-725A-49C1-88C0-0B98818E059B}" xr6:coauthVersionLast="47" xr6:coauthVersionMax="47" xr10:uidLastSave="{00000000-0000-0000-0000-000000000000}"/>
  <bookViews>
    <workbookView xWindow="-120" yWindow="-120" windowWidth="29040" windowHeight="15720" activeTab="6" xr2:uid="{C0C1BFE9-D423-4471-91B8-CF9A31DF6DD1}"/>
  </bookViews>
  <sheets>
    <sheet name="0 cambios" sheetId="1" r:id="rId1"/>
    <sheet name="1 cambios" sheetId="2" r:id="rId2"/>
    <sheet name="2 cambios" sheetId="3" r:id="rId3"/>
    <sheet name="3 cambios" sheetId="4" r:id="rId4"/>
    <sheet name="4 cambios" sheetId="5" r:id="rId5"/>
    <sheet name="sobreinstalacion " sheetId="6" r:id="rId6"/>
    <sheet name="resume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7" l="1"/>
  <c r="D9" i="2"/>
  <c r="D9" i="3"/>
  <c r="F4" i="7"/>
  <c r="F5" i="7"/>
  <c r="F6" i="7"/>
  <c r="F7" i="7"/>
  <c r="F8" i="7"/>
  <c r="F3" i="7"/>
  <c r="I8" i="7"/>
  <c r="H8" i="7"/>
  <c r="G8" i="7"/>
  <c r="E8" i="7"/>
  <c r="D8" i="7"/>
  <c r="I7" i="7"/>
  <c r="H7" i="7"/>
  <c r="G7" i="7"/>
  <c r="E7" i="7"/>
  <c r="D7" i="7"/>
  <c r="I6" i="7"/>
  <c r="H6" i="7"/>
  <c r="G6" i="7"/>
  <c r="E6" i="7"/>
  <c r="D6" i="7"/>
  <c r="I5" i="7"/>
  <c r="H5" i="7"/>
  <c r="G5" i="7"/>
  <c r="E5" i="7"/>
  <c r="D5" i="7"/>
  <c r="I4" i="7"/>
  <c r="H4" i="7"/>
  <c r="G4" i="7"/>
  <c r="D4" i="7"/>
  <c r="I3" i="7"/>
  <c r="H3" i="7"/>
  <c r="G3" i="7"/>
  <c r="E3" i="7"/>
  <c r="D3" i="7"/>
  <c r="H12" i="6"/>
  <c r="G12" i="6"/>
  <c r="F12" i="6"/>
  <c r="D12" i="6"/>
  <c r="C12" i="6"/>
  <c r="H9" i="5"/>
  <c r="G9" i="5"/>
  <c r="F9" i="5"/>
  <c r="D9" i="5"/>
  <c r="C9" i="5"/>
  <c r="H9" i="4"/>
  <c r="G9" i="4"/>
  <c r="F9" i="4"/>
  <c r="D9" i="4"/>
  <c r="C9" i="4"/>
  <c r="H9" i="3"/>
  <c r="G9" i="3"/>
  <c r="F9" i="3"/>
  <c r="C9" i="3"/>
  <c r="H9" i="2"/>
  <c r="G9" i="2"/>
  <c r="F9" i="2"/>
  <c r="C9" i="2"/>
  <c r="H9" i="1"/>
  <c r="G9" i="1"/>
  <c r="F9" i="1"/>
  <c r="D9" i="1"/>
  <c r="C9" i="1"/>
</calcChain>
</file>

<file path=xl/sharedStrings.xml><?xml version="1.0" encoding="utf-8"?>
<sst xmlns="http://schemas.openxmlformats.org/spreadsheetml/2006/main" count="230" uniqueCount="38">
  <si>
    <t>Maquina</t>
  </si>
  <si>
    <t>Es Inversor</t>
  </si>
  <si>
    <t>I_max [pu]</t>
  </si>
  <si>
    <t>I_max en t [s]</t>
  </si>
  <si>
    <t>I_mean [pu]</t>
  </si>
  <si>
    <t>I_min [pu]</t>
  </si>
  <si>
    <t>Supera limite nominal</t>
  </si>
  <si>
    <t>Supera limite critico</t>
  </si>
  <si>
    <t>Tiempo sobre limite [s]</t>
  </si>
  <si>
    <t>Bocamina</t>
  </si>
  <si>
    <t>No</t>
  </si>
  <si>
    <t>no</t>
  </si>
  <si>
    <t>Horcones</t>
  </si>
  <si>
    <t>PSEG</t>
  </si>
  <si>
    <t>CELCO Arauco</t>
  </si>
  <si>
    <t>GFM Celco Arauco cc</t>
  </si>
  <si>
    <t>Si</t>
  </si>
  <si>
    <t>SI</t>
  </si>
  <si>
    <t>GFM Horcones cc</t>
  </si>
  <si>
    <t>GFM PSEG cc</t>
  </si>
  <si>
    <t>GFM Bocamina cc</t>
  </si>
  <si>
    <t>GFM Celco Arauco cc 2</t>
  </si>
  <si>
    <t>GFM PSEG cc 2</t>
  </si>
  <si>
    <t>GFM Horcones cc 2</t>
  </si>
  <si>
    <t>Estadisticas utiles</t>
  </si>
  <si>
    <t>Cantidad inversores</t>
  </si>
  <si>
    <t>I maxima sistema</t>
  </si>
  <si>
    <t>Reducción respecto al caso base [%]</t>
  </si>
  <si>
    <t>Icc  disponible en Hualpen[pu]</t>
  </si>
  <si>
    <t>------</t>
  </si>
  <si>
    <t>Escenario</t>
  </si>
  <si>
    <t>Variación de Icc respecto al caso base [%]</t>
  </si>
  <si>
    <t>Caso base</t>
  </si>
  <si>
    <t>Reemplazo de 1 unidad térmica</t>
  </si>
  <si>
    <t>Reemplazo de 2 unidades térmicas</t>
  </si>
  <si>
    <t>Reemplazo de 3 unidades térmicas</t>
  </si>
  <si>
    <t>Reemplazo de 4 unidades térmicas</t>
  </si>
  <si>
    <t>Escenario de sobreinstalación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</si>
</sst>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9" fontId="0" fillId="0" borderId="0" xfId="1" quotePrefix="1" applyFont="1"/>
  </cellXfs>
  <cellStyles count="2">
    <cellStyle name="Normal" xfId="0" builtinId="0"/>
    <cellStyle name="Porcentaje" xfId="1" builtinId="5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89C29E-BA58-4E4A-B614-7187E0CCA37C}" name="Tabla1" displayName="Tabla1" ref="A1:I5" totalsRowShown="0" headerRowDxfId="24" headerRowBorderDxfId="23" tableBorderDxfId="22">
  <autoFilter ref="A1:I5" xr:uid="{0889C29E-BA58-4E4A-B614-7187E0CCA37C}"/>
  <tableColumns count="9">
    <tableColumn id="1" xr3:uid="{346B8451-B109-4EE1-BD34-4089440DECE9}" name="Maquina" dataDxfId="21"/>
    <tableColumn id="2" xr3:uid="{19948DDD-8591-4028-829E-6C135996B5F0}" name="Es Inversor"/>
    <tableColumn id="3" xr3:uid="{A6B8C53A-B939-4F26-A331-6345D0DABFFA}" name="I_max [pu]" dataDxfId="20"/>
    <tableColumn id="4" xr3:uid="{92C86D1A-BB53-46D2-AC83-46F266B02E7E}" name="I_max en t [s]"/>
    <tableColumn id="5" xr3:uid="{1FCA267F-7911-4B53-BFCB-B48054A2CD09}" name="I_mean [pu]"/>
    <tableColumn id="6" xr3:uid="{39E17174-9C2A-4A9A-A1DB-683649D89351}" name="I_min [pu]"/>
    <tableColumn id="7" xr3:uid="{5B77954A-8B16-4CF4-9CA2-E491B257B3DE}" name="Supera limite nominal"/>
    <tableColumn id="8" xr3:uid="{470B3B88-A21C-4400-BEC4-023012147B65}" name="Supera limite critico"/>
    <tableColumn id="9" xr3:uid="{E4BE20D1-73C1-4C16-8904-EF3ED31313B4}" name="Tiempo sobre limite [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9A2782-4E78-4C2D-812D-BA989BECEB5C}" name="Tabla2" displayName="Tabla2" ref="A1:I5" totalsRowShown="0" headerRowDxfId="19" headerRowBorderDxfId="18" tableBorderDxfId="17">
  <autoFilter ref="A1:I5" xr:uid="{359A2782-4E78-4C2D-812D-BA989BECEB5C}"/>
  <tableColumns count="9">
    <tableColumn id="1" xr3:uid="{56F415ED-9B67-41B0-9C82-62A546FAFBC8}" name="Maquina" dataDxfId="16"/>
    <tableColumn id="2" xr3:uid="{077BD69C-8504-4A5F-84E4-8B990B6E2F90}" name="Es Inversor"/>
    <tableColumn id="3" xr3:uid="{91B82215-7432-4869-8F3D-50AF9B68F189}" name="I_max [pu]"/>
    <tableColumn id="4" xr3:uid="{D824F399-13F9-4511-AE0D-474AA16CD4C1}" name="I_max en t [s]"/>
    <tableColumn id="5" xr3:uid="{5B555B33-02F9-48EF-9732-77EBD98079FE}" name="I_mean [pu]"/>
    <tableColumn id="6" xr3:uid="{443BD070-2845-45D3-B443-789240C1AF94}" name="I_min [pu]"/>
    <tableColumn id="7" xr3:uid="{A1600466-F5E2-4499-AA0A-EDDA2DFD49AC}" name="Supera limite nominal"/>
    <tableColumn id="8" xr3:uid="{A785AD77-9A9F-4658-9FCE-75A51B2487A8}" name="Supera limite critico"/>
    <tableColumn id="9" xr3:uid="{E97F80FE-14C7-4A07-8D89-3A9D39E1DE31}" name="Tiempo sobre limite [s]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1760E3-8887-48F0-B8A4-93FAFEA8B0D3}" name="Tabla3" displayName="Tabla3" ref="A1:I5" totalsRowShown="0" headerRowDxfId="15" headerRowBorderDxfId="14" tableBorderDxfId="13">
  <autoFilter ref="A1:I5" xr:uid="{421760E3-8887-48F0-B8A4-93FAFEA8B0D3}"/>
  <tableColumns count="9">
    <tableColumn id="1" xr3:uid="{8DBC9AE0-A9C1-4899-A760-5B5669963665}" name="Maquina" dataDxfId="12"/>
    <tableColumn id="2" xr3:uid="{CFC503EA-A11D-49E8-B082-5ECD8381A5CD}" name="Es Inversor"/>
    <tableColumn id="3" xr3:uid="{E8BFD45D-FED7-4150-9DC9-56857E3B1B45}" name="I_max [pu]"/>
    <tableColumn id="4" xr3:uid="{B8FE3B23-9831-4229-B2C4-05688A58A619}" name="I_max en t [s]"/>
    <tableColumn id="5" xr3:uid="{D5D72552-77D3-4C54-9889-45749CC75504}" name="I_mean [pu]"/>
    <tableColumn id="6" xr3:uid="{92594E63-45EA-4A49-BA30-8E2927BD57BA}" name="I_min [pu]"/>
    <tableColumn id="7" xr3:uid="{5656AD9B-FDA2-4069-A24C-E92091151411}" name="Supera limite nominal"/>
    <tableColumn id="8" xr3:uid="{F4A7DA27-EFDA-464C-BF43-327F42939B78}" name="Supera limite critico"/>
    <tableColumn id="9" xr3:uid="{B6A0DC98-7687-4888-B5A7-9564C7DAD66A}" name="Tiempo sobre limite [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0866A4-7508-4E98-A245-34853B1443AF}" name="Tabla4" displayName="Tabla4" ref="A1:I5" totalsRowShown="0" headerRowDxfId="11" headerRowBorderDxfId="10" tableBorderDxfId="9">
  <autoFilter ref="A1:I5" xr:uid="{2F0866A4-7508-4E98-A245-34853B1443AF}"/>
  <tableColumns count="9">
    <tableColumn id="1" xr3:uid="{EF707D00-3391-4268-97E8-E7C3539D8E79}" name="Maquina" dataDxfId="8"/>
    <tableColumn id="2" xr3:uid="{B401A7AE-2C54-48F2-AB92-312CF88EE0B9}" name="Es Inversor"/>
    <tableColumn id="3" xr3:uid="{D5D6644D-4E7B-401E-B5E9-56DD4F8C47D0}" name="I_max [pu]"/>
    <tableColumn id="4" xr3:uid="{62907ABB-F166-495E-B7AF-229E087EC087}" name="I_max en t [s]"/>
    <tableColumn id="5" xr3:uid="{C7FDDF6D-8331-49E5-9690-7F975E570AD9}" name="I_mean [pu]"/>
    <tableColumn id="6" xr3:uid="{89149E40-8B31-4647-99D0-CB153B831033}" name="I_min [pu]"/>
    <tableColumn id="7" xr3:uid="{B39F5529-FE90-4397-84E8-6EBD57C55BF6}" name="Supera limite nominal"/>
    <tableColumn id="8" xr3:uid="{B6007FBD-E362-40AF-B1B1-B2ED5A545E3D}" name="Supera limite critico"/>
    <tableColumn id="9" xr3:uid="{B9CBBB3C-B6A1-4BED-9C14-6D5AD5219A29}" name="Tiempo sobre limite [s]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6B9AFD-81C0-4EE1-BFEE-799953DCC0E3}" name="Tabla5" displayName="Tabla5" ref="A1:I5" totalsRowShown="0" headerRowDxfId="7" headerRowBorderDxfId="6" tableBorderDxfId="5">
  <autoFilter ref="A1:I5" xr:uid="{876B9AFD-81C0-4EE1-BFEE-799953DCC0E3}"/>
  <tableColumns count="9">
    <tableColumn id="1" xr3:uid="{C98FEA3C-6342-49DF-8926-D47006FCB4DD}" name="Maquina" dataDxfId="4"/>
    <tableColumn id="2" xr3:uid="{48ED8F49-88F4-41C1-B2F9-3B9001FD5783}" name="Es Inversor"/>
    <tableColumn id="3" xr3:uid="{E9E5F8A9-78CE-4D28-82EE-D6F6A1995FD9}" name="I_max [pu]"/>
    <tableColumn id="4" xr3:uid="{5315EB18-3D9F-470E-81D7-F49BDF9B8DA0}" name="I_max en t [s]"/>
    <tableColumn id="5" xr3:uid="{A86046CC-8E35-4525-B807-7A0ED31F09A3}" name="I_mean [pu]"/>
    <tableColumn id="6" xr3:uid="{0AC206B3-B381-42CF-B119-465562FE6210}" name="I_min [pu]"/>
    <tableColumn id="7" xr3:uid="{1128CFDB-2C50-49CC-A23F-DC609D6F62D3}" name="Supera limite nominal"/>
    <tableColumn id="8" xr3:uid="{4EA88AAB-3B40-414E-9C8E-10BCEC596803}" name="Supera limite critico"/>
    <tableColumn id="9" xr3:uid="{482900D9-4E1F-440F-9D5D-508AE6E9A5E5}" name="Tiempo sobre limite [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E4EF7C-692C-4596-B348-9E6ACF201D38}" name="Tabla6" displayName="Tabla6" ref="A1:I8" totalsRowShown="0" headerRowDxfId="3" headerRowBorderDxfId="2" tableBorderDxfId="1">
  <autoFilter ref="A1:I8" xr:uid="{2AE4EF7C-692C-4596-B348-9E6ACF201D38}"/>
  <tableColumns count="9">
    <tableColumn id="1" xr3:uid="{3AFE6F68-2FB6-4759-B261-E99C3060FFAF}" name="Maquina" dataDxfId="0"/>
    <tableColumn id="2" xr3:uid="{2F302F47-64A1-4591-84E0-9708C07C25B3}" name="Es Inversor"/>
    <tableColumn id="3" xr3:uid="{09C375FA-0C12-4897-9599-C585E2C52EB3}" name="I_max [pu]"/>
    <tableColumn id="4" xr3:uid="{A20B6FBD-6589-483A-820C-778AD934B180}" name="I_max en t [s]"/>
    <tableColumn id="5" xr3:uid="{002EA52B-C305-4582-8FE0-5B2CF8306D0E}" name="I_mean [pu]"/>
    <tableColumn id="6" xr3:uid="{F13E2A53-FE86-4D56-AD80-9B1823AEC8B9}" name="I_min [pu]"/>
    <tableColumn id="7" xr3:uid="{89BC396C-2F85-4A5B-A2C0-2B2EFA7D6CC9}" name="Supera limite nominal"/>
    <tableColumn id="8" xr3:uid="{6387EC59-9B5F-4325-BC04-77F61A223AD0}" name="Supera limite critico"/>
    <tableColumn id="9" xr3:uid="{24DDD497-0746-47DE-A841-21431FD20654}" name="Tiempo sobre limite [s]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E1D183-DF76-4CAE-8BF4-B72432C5FBB2}" name="Tabla7" displayName="Tabla7" ref="B2:I8" totalsRowShown="0">
  <autoFilter ref="B2:I8" xr:uid="{95E1D183-DF76-4CAE-8BF4-B72432C5FBB2}"/>
  <tableColumns count="8">
    <tableColumn id="1" xr3:uid="{9E1948A0-FC08-43E7-8356-1DA19B603C1D}" name="Escenario"/>
    <tableColumn id="2" xr3:uid="{407784BB-D9D5-4D09-A98C-3839E479E830}" name="Cantidad inversores"/>
    <tableColumn id="3" xr3:uid="{C2915DAA-E656-4440-B842-826938F875A4}" name="I maxima sistema"/>
    <tableColumn id="4" xr3:uid="{FC77DF7E-4442-4347-8B83-F0CF4EEE33E9}" name="Icc  disponible en Hualpen[pu]" dataDxfId="26"/>
    <tableColumn id="5" xr3:uid="{CF6CF494-0A5B-4B77-9955-D811478A9136}" name="Variación de Icc respecto al caso base [%]" dataDxfId="25" dataCellStyle="Porcentaje">
      <calculatedColumnFormula>(E3-$E$3)/$E$3</calculatedColumnFormula>
    </tableColumn>
    <tableColumn id="6" xr3:uid="{82B358EF-FFD6-4DA6-9CCA-A7C973AD309E}" name="Supera limite nominal"/>
    <tableColumn id="7" xr3:uid="{58B521FC-E7A4-4FF8-A19A-221414AA333A}" name="Supera limite critico"/>
    <tableColumn id="8" xr3:uid="{00FDECC2-02AA-4EB4-8793-D22C9FB1D5CC}" name="Tiempo sobre limite [s]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7D81-CCA0-4412-84A8-4D075E8A00D3}">
  <dimension ref="A1:I9"/>
  <sheetViews>
    <sheetView workbookViewId="0">
      <selection activeCell="B9" sqref="B9:H9"/>
    </sheetView>
  </sheetViews>
  <sheetFormatPr baseColWidth="10" defaultRowHeight="15" x14ac:dyDescent="0.25"/>
  <cols>
    <col min="1" max="1" width="15.28515625" bestFit="1" customWidth="1"/>
    <col min="2" max="2" width="17" bestFit="1" customWidth="1"/>
    <col min="3" max="3" width="14.7109375" bestFit="1" customWidth="1"/>
    <col min="4" max="4" width="25.140625" bestFit="1" customWidth="1"/>
    <col min="5" max="5" width="30.5703125" bestFit="1" customWidth="1"/>
    <col min="6" max="6" width="18.28515625" bestFit="1" customWidth="1"/>
    <col min="7" max="7" width="23.85546875" bestFit="1" customWidth="1"/>
    <col min="8" max="8" width="22.140625" bestFit="1" customWidth="1"/>
    <col min="9" max="9" width="24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 s="4">
        <v>4.6700999999999997</v>
      </c>
      <c r="D2">
        <v>1.0004999999999999</v>
      </c>
      <c r="E2">
        <v>0.93176641481842559</v>
      </c>
      <c r="F2">
        <v>0.75629999999999997</v>
      </c>
      <c r="G2" t="s">
        <v>11</v>
      </c>
      <c r="H2" t="s">
        <v>11</v>
      </c>
      <c r="I2">
        <v>0</v>
      </c>
    </row>
    <row r="3" spans="1:9" x14ac:dyDescent="0.25">
      <c r="A3" s="1" t="s">
        <v>12</v>
      </c>
      <c r="B3" t="s">
        <v>10</v>
      </c>
      <c r="C3" s="4">
        <v>4.4546999999999999</v>
      </c>
      <c r="D3">
        <v>1.0004999999999999</v>
      </c>
      <c r="E3">
        <v>0.42062113087984387</v>
      </c>
      <c r="F3">
        <v>0.29620000000000002</v>
      </c>
      <c r="G3" t="s">
        <v>11</v>
      </c>
      <c r="H3" t="s">
        <v>11</v>
      </c>
      <c r="I3">
        <v>0</v>
      </c>
    </row>
    <row r="4" spans="1:9" x14ac:dyDescent="0.25">
      <c r="A4" s="1" t="s">
        <v>13</v>
      </c>
      <c r="B4" t="s">
        <v>10</v>
      </c>
      <c r="C4" s="4">
        <v>4.5914000000000001</v>
      </c>
      <c r="D4">
        <v>1.0004999999999999</v>
      </c>
      <c r="E4">
        <v>0.51065383865464298</v>
      </c>
      <c r="F4">
        <v>0.2792</v>
      </c>
      <c r="G4" t="s">
        <v>11</v>
      </c>
      <c r="H4" t="s">
        <v>11</v>
      </c>
      <c r="I4">
        <v>0</v>
      </c>
    </row>
    <row r="5" spans="1:9" x14ac:dyDescent="0.25">
      <c r="A5" s="1" t="s">
        <v>14</v>
      </c>
      <c r="B5" t="s">
        <v>10</v>
      </c>
      <c r="C5" s="4">
        <v>4.7683</v>
      </c>
      <c r="D5">
        <v>1.0004999999999999</v>
      </c>
      <c r="E5">
        <v>0.84694404094564946</v>
      </c>
      <c r="F5">
        <v>0.73629999999999995</v>
      </c>
      <c r="G5" t="s">
        <v>11</v>
      </c>
      <c r="H5" t="s">
        <v>11</v>
      </c>
      <c r="I5">
        <v>0</v>
      </c>
    </row>
    <row r="8" spans="1:9" x14ac:dyDescent="0.25">
      <c r="B8" t="s">
        <v>25</v>
      </c>
      <c r="C8" t="s">
        <v>26</v>
      </c>
      <c r="D8" t="s">
        <v>28</v>
      </c>
      <c r="E8" t="s">
        <v>27</v>
      </c>
      <c r="F8" t="s">
        <v>6</v>
      </c>
      <c r="G8" t="s">
        <v>7</v>
      </c>
      <c r="H8" t="s">
        <v>8</v>
      </c>
    </row>
    <row r="9" spans="1:9" x14ac:dyDescent="0.25">
      <c r="A9" t="s">
        <v>24</v>
      </c>
      <c r="B9">
        <v>0</v>
      </c>
      <c r="C9">
        <f>MAX(Tabla1[I_max '[pu']])</f>
        <v>4.7683</v>
      </c>
      <c r="D9" s="4">
        <f>SUM(Tabla1[I_max '[pu']])</f>
        <v>18.484500000000001</v>
      </c>
      <c r="E9" s="5" t="s">
        <v>29</v>
      </c>
      <c r="F9">
        <f>COUNTIF(Tabla1[Supera limite nominal],"Si")</f>
        <v>0</v>
      </c>
      <c r="G9">
        <f>COUNTIF(Tabla1[Supera limite critico],"Si")</f>
        <v>0</v>
      </c>
      <c r="H9">
        <f>MAX(Tabla1[Tiempo sobre limite '[s']])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2D2C-BEB3-4E38-A374-8689F3920B42}">
  <dimension ref="A1:I9"/>
  <sheetViews>
    <sheetView workbookViewId="0">
      <selection activeCell="D9" sqref="D9"/>
    </sheetView>
  </sheetViews>
  <sheetFormatPr baseColWidth="10" defaultRowHeight="15" x14ac:dyDescent="0.25"/>
  <cols>
    <col min="1" max="1" width="18.7109375" bestFit="1" customWidth="1"/>
    <col min="2" max="3" width="14.5703125" bestFit="1" customWidth="1"/>
    <col min="4" max="4" width="16.7109375" bestFit="1" customWidth="1"/>
    <col min="5" max="5" width="15.7109375" bestFit="1" customWidth="1"/>
    <col min="6" max="6" width="14.28515625" bestFit="1" customWidth="1"/>
    <col min="7" max="7" width="23.85546875" bestFit="1" customWidth="1"/>
    <col min="8" max="8" width="22.140625" bestFit="1" customWidth="1"/>
    <col min="9" max="9" width="24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>
        <v>4.6845999999999997</v>
      </c>
      <c r="D2">
        <v>1.0004999999999999</v>
      </c>
      <c r="E2">
        <v>0.93104187180112108</v>
      </c>
      <c r="F2">
        <v>0.76070000000000004</v>
      </c>
      <c r="G2" t="s">
        <v>11</v>
      </c>
      <c r="H2" t="s">
        <v>11</v>
      </c>
      <c r="I2">
        <v>0</v>
      </c>
    </row>
    <row r="3" spans="1:9" x14ac:dyDescent="0.25">
      <c r="A3" s="1" t="s">
        <v>12</v>
      </c>
      <c r="B3" t="s">
        <v>10</v>
      </c>
      <c r="C3">
        <v>4.4705000000000004</v>
      </c>
      <c r="D3">
        <v>1.0004999999999999</v>
      </c>
      <c r="E3">
        <v>0.42224452839385812</v>
      </c>
      <c r="F3">
        <v>0.28470000000000001</v>
      </c>
      <c r="G3" t="s">
        <v>11</v>
      </c>
      <c r="H3" t="s">
        <v>11</v>
      </c>
      <c r="I3">
        <v>0</v>
      </c>
    </row>
    <row r="4" spans="1:9" x14ac:dyDescent="0.25">
      <c r="A4" s="1" t="s">
        <v>13</v>
      </c>
      <c r="B4" t="s">
        <v>10</v>
      </c>
      <c r="C4">
        <v>4.6071</v>
      </c>
      <c r="D4">
        <v>1.0004999999999999</v>
      </c>
      <c r="E4">
        <v>0.50990202291006581</v>
      </c>
      <c r="F4">
        <v>0.25829999999999997</v>
      </c>
      <c r="G4" t="s">
        <v>11</v>
      </c>
      <c r="H4" t="s">
        <v>11</v>
      </c>
      <c r="I4">
        <v>0</v>
      </c>
    </row>
    <row r="5" spans="1:9" x14ac:dyDescent="0.25">
      <c r="A5" s="1" t="s">
        <v>15</v>
      </c>
      <c r="B5" t="s">
        <v>16</v>
      </c>
      <c r="C5">
        <v>3</v>
      </c>
      <c r="D5">
        <v>1.0004999999999999</v>
      </c>
      <c r="E5">
        <v>0.85341981476968054</v>
      </c>
      <c r="F5">
        <v>0.74980000000000002</v>
      </c>
      <c r="G5" t="s">
        <v>17</v>
      </c>
      <c r="H5" t="s">
        <v>17</v>
      </c>
      <c r="I5">
        <v>0.19170000000000001</v>
      </c>
    </row>
    <row r="8" spans="1:9" x14ac:dyDescent="0.25">
      <c r="B8" t="s">
        <v>25</v>
      </c>
      <c r="C8" t="s">
        <v>26</v>
      </c>
      <c r="D8" t="s">
        <v>28</v>
      </c>
      <c r="E8" t="s">
        <v>27</v>
      </c>
      <c r="F8" t="s">
        <v>6</v>
      </c>
      <c r="G8" t="s">
        <v>7</v>
      </c>
      <c r="H8" t="s">
        <v>8</v>
      </c>
    </row>
    <row r="9" spans="1:9" x14ac:dyDescent="0.25">
      <c r="A9" t="s">
        <v>24</v>
      </c>
      <c r="B9">
        <v>1</v>
      </c>
      <c r="C9">
        <f>MAX(Tabla2[I_max '[pu']])</f>
        <v>4.6845999999999997</v>
      </c>
      <c r="D9" s="4">
        <f>SUM(Tabla2[I_max '[pu']])</f>
        <v>16.7622</v>
      </c>
      <c r="E9" s="5" t="s">
        <v>29</v>
      </c>
      <c r="F9">
        <f>COUNTIF(Tabla2[Supera limite nominal],"Si")</f>
        <v>1</v>
      </c>
      <c r="G9">
        <f>COUNTIF(Tabla2[Supera limite critico],"Si")</f>
        <v>1</v>
      </c>
      <c r="H9">
        <f>MAX(Tabla2[Tiempo sobre limite '[s']])</f>
        <v>0.19170000000000001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B6C0-D876-49A6-BB5C-4007C414F3BC}">
  <dimension ref="A1:I9"/>
  <sheetViews>
    <sheetView workbookViewId="0">
      <selection activeCell="D9" sqref="D9"/>
    </sheetView>
  </sheetViews>
  <sheetFormatPr baseColWidth="10" defaultRowHeight="15" x14ac:dyDescent="0.25"/>
  <cols>
    <col min="1" max="1" width="18.7109375" bestFit="1" customWidth="1"/>
    <col min="2" max="3" width="14.5703125" bestFit="1" customWidth="1"/>
    <col min="4" max="4" width="16.7109375" bestFit="1" customWidth="1"/>
    <col min="5" max="5" width="15.7109375" bestFit="1" customWidth="1"/>
    <col min="6" max="6" width="14.28515625" bestFit="1" customWidth="1"/>
    <col min="7" max="7" width="23.85546875" bestFit="1" customWidth="1"/>
    <col min="8" max="8" width="22.140625" bestFit="1" customWidth="1"/>
    <col min="9" max="9" width="24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>
        <v>4.6917999999999997</v>
      </c>
      <c r="D2">
        <v>1.0004999999999999</v>
      </c>
      <c r="E2">
        <v>0.93060589812332428</v>
      </c>
      <c r="F2">
        <v>0.76449999999999996</v>
      </c>
      <c r="G2" t="s">
        <v>11</v>
      </c>
      <c r="H2" t="s">
        <v>11</v>
      </c>
      <c r="I2">
        <v>0</v>
      </c>
    </row>
    <row r="3" spans="1:9" x14ac:dyDescent="0.25">
      <c r="A3" s="1" t="s">
        <v>13</v>
      </c>
      <c r="B3" t="s">
        <v>10</v>
      </c>
      <c r="C3">
        <v>4.6151999999999997</v>
      </c>
      <c r="D3">
        <v>1.0004999999999999</v>
      </c>
      <c r="E3">
        <v>0.50942639532049716</v>
      </c>
      <c r="F3">
        <v>0.2447</v>
      </c>
      <c r="G3" t="s">
        <v>11</v>
      </c>
      <c r="H3" t="s">
        <v>11</v>
      </c>
      <c r="I3">
        <v>0</v>
      </c>
    </row>
    <row r="4" spans="1:9" x14ac:dyDescent="0.25">
      <c r="A4" s="1" t="s">
        <v>18</v>
      </c>
      <c r="B4" t="s">
        <v>16</v>
      </c>
      <c r="C4">
        <v>3</v>
      </c>
      <c r="D4">
        <v>1.0004999999999999</v>
      </c>
      <c r="E4">
        <v>0.41945605654399232</v>
      </c>
      <c r="F4">
        <v>0.30630000000000002</v>
      </c>
      <c r="G4" t="s">
        <v>17</v>
      </c>
      <c r="H4" t="s">
        <v>17</v>
      </c>
      <c r="I4">
        <v>0.1197000000000001</v>
      </c>
    </row>
    <row r="5" spans="1:9" x14ac:dyDescent="0.25">
      <c r="A5" s="1" t="s">
        <v>15</v>
      </c>
      <c r="B5" t="s">
        <v>16</v>
      </c>
      <c r="C5">
        <v>3</v>
      </c>
      <c r="D5">
        <v>1.0004999999999999</v>
      </c>
      <c r="E5">
        <v>0.84977216670728717</v>
      </c>
      <c r="F5">
        <v>0.75239999999999996</v>
      </c>
      <c r="G5" t="s">
        <v>17</v>
      </c>
      <c r="H5" t="s">
        <v>17</v>
      </c>
      <c r="I5">
        <v>0.1707000000000001</v>
      </c>
    </row>
    <row r="8" spans="1:9" x14ac:dyDescent="0.25">
      <c r="B8" t="s">
        <v>25</v>
      </c>
      <c r="C8" t="s">
        <v>26</v>
      </c>
      <c r="D8" t="s">
        <v>28</v>
      </c>
      <c r="E8" t="s">
        <v>27</v>
      </c>
      <c r="F8" t="s">
        <v>6</v>
      </c>
      <c r="G8" t="s">
        <v>7</v>
      </c>
      <c r="H8" t="s">
        <v>8</v>
      </c>
    </row>
    <row r="9" spans="1:9" x14ac:dyDescent="0.25">
      <c r="A9" t="s">
        <v>24</v>
      </c>
      <c r="B9">
        <v>2</v>
      </c>
      <c r="C9">
        <f>MAX(Tabla3[I_max '[pu']])</f>
        <v>4.6917999999999997</v>
      </c>
      <c r="D9" s="4">
        <f>SUM(Tabla3[I_max '[pu']])</f>
        <v>15.306999999999999</v>
      </c>
      <c r="E9" s="5" t="s">
        <v>29</v>
      </c>
      <c r="F9">
        <f>COUNTIF(Tabla3[Supera limite nominal],"Si")</f>
        <v>2</v>
      </c>
      <c r="G9">
        <f>COUNTIF(Tabla3[Supera limite critico],"Si")</f>
        <v>2</v>
      </c>
      <c r="H9">
        <f>MAX(Tabla3[Tiempo sobre limite '[s']])</f>
        <v>0.1707000000000001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6B6E-B060-43C7-BA8F-600C9859E526}">
  <dimension ref="A1:I9"/>
  <sheetViews>
    <sheetView workbookViewId="0">
      <selection activeCell="B9" sqref="B9:H9"/>
    </sheetView>
  </sheetViews>
  <sheetFormatPr baseColWidth="10" defaultRowHeight="15" x14ac:dyDescent="0.25"/>
  <cols>
    <col min="1" max="1" width="18.7109375" bestFit="1" customWidth="1"/>
    <col min="2" max="3" width="14.5703125" bestFit="1" customWidth="1"/>
    <col min="4" max="4" width="16.7109375" bestFit="1" customWidth="1"/>
    <col min="5" max="5" width="15.7109375" bestFit="1" customWidth="1"/>
    <col min="6" max="6" width="14.28515625" bestFit="1" customWidth="1"/>
    <col min="7" max="7" width="23.85546875" bestFit="1" customWidth="1"/>
    <col min="8" max="8" width="22.140625" bestFit="1" customWidth="1"/>
    <col min="9" max="9" width="24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>
        <v>4.7058</v>
      </c>
      <c r="D2">
        <v>1.0004999999999999</v>
      </c>
      <c r="E2">
        <v>0.90331369729466238</v>
      </c>
      <c r="F2">
        <v>0.53559999999999997</v>
      </c>
      <c r="G2" t="s">
        <v>11</v>
      </c>
      <c r="H2" t="s">
        <v>11</v>
      </c>
      <c r="I2">
        <v>0</v>
      </c>
    </row>
    <row r="3" spans="1:9" x14ac:dyDescent="0.25">
      <c r="A3" s="1" t="s">
        <v>18</v>
      </c>
      <c r="B3" t="s">
        <v>16</v>
      </c>
      <c r="C3">
        <v>3</v>
      </c>
      <c r="D3">
        <v>1.0004999999999999</v>
      </c>
      <c r="E3">
        <v>1.5783388008774071</v>
      </c>
      <c r="F3">
        <v>0.34089999999999998</v>
      </c>
      <c r="G3" t="s">
        <v>17</v>
      </c>
      <c r="H3" t="s">
        <v>17</v>
      </c>
      <c r="I3">
        <v>2.9994999999999998</v>
      </c>
    </row>
    <row r="4" spans="1:9" x14ac:dyDescent="0.25">
      <c r="A4" s="1" t="s">
        <v>15</v>
      </c>
      <c r="B4" t="s">
        <v>16</v>
      </c>
      <c r="C4">
        <v>3</v>
      </c>
      <c r="D4">
        <v>1.1732</v>
      </c>
      <c r="E4">
        <v>1.7762476968072141</v>
      </c>
      <c r="F4">
        <v>0.78390000000000004</v>
      </c>
      <c r="G4" t="s">
        <v>17</v>
      </c>
      <c r="H4" t="s">
        <v>17</v>
      </c>
      <c r="I4">
        <v>2.9994999999999998</v>
      </c>
    </row>
    <row r="5" spans="1:9" x14ac:dyDescent="0.25">
      <c r="A5" s="1" t="s">
        <v>19</v>
      </c>
      <c r="B5" t="s">
        <v>16</v>
      </c>
      <c r="C5">
        <v>3</v>
      </c>
      <c r="D5">
        <v>1.0004999999999999</v>
      </c>
      <c r="E5">
        <v>1.610390519132342</v>
      </c>
      <c r="F5">
        <v>0.44269999999999998</v>
      </c>
      <c r="G5" t="s">
        <v>17</v>
      </c>
      <c r="H5" t="s">
        <v>17</v>
      </c>
      <c r="I5">
        <v>2.9994999999999998</v>
      </c>
    </row>
    <row r="8" spans="1:9" x14ac:dyDescent="0.25">
      <c r="B8" t="s">
        <v>25</v>
      </c>
      <c r="C8" t="s">
        <v>26</v>
      </c>
      <c r="D8" t="s">
        <v>28</v>
      </c>
      <c r="E8" t="s">
        <v>27</v>
      </c>
      <c r="F8" t="s">
        <v>6</v>
      </c>
      <c r="G8" t="s">
        <v>7</v>
      </c>
      <c r="H8" t="s">
        <v>8</v>
      </c>
    </row>
    <row r="9" spans="1:9" x14ac:dyDescent="0.25">
      <c r="A9" t="s">
        <v>24</v>
      </c>
      <c r="B9">
        <v>3</v>
      </c>
      <c r="C9">
        <f>MAX(Tabla4[I_max '[pu']])</f>
        <v>4.7058</v>
      </c>
      <c r="D9" s="4">
        <f>SUM(Tabla4[I_max '[pu']])</f>
        <v>13.7058</v>
      </c>
      <c r="E9" s="5" t="s">
        <v>29</v>
      </c>
      <c r="F9">
        <f>COUNTIF(Tabla4[Supera limite nominal],"Si")</f>
        <v>3</v>
      </c>
      <c r="G9">
        <f>COUNTIF(Tabla4[Supera limite critico],"Si")</f>
        <v>3</v>
      </c>
      <c r="H9">
        <f>MAX(Tabla4[Tiempo sobre limite '[s']])</f>
        <v>2.9994999999999998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73DB-18E2-4FB6-8D57-50602FC649C7}">
  <dimension ref="A1:I9"/>
  <sheetViews>
    <sheetView workbookViewId="0">
      <selection activeCell="B9" sqref="B9:H9"/>
    </sheetView>
  </sheetViews>
  <sheetFormatPr baseColWidth="10" defaultRowHeight="15" x14ac:dyDescent="0.25"/>
  <cols>
    <col min="1" max="1" width="18.7109375" bestFit="1" customWidth="1"/>
    <col min="2" max="3" width="14.5703125" bestFit="1" customWidth="1"/>
    <col min="4" max="4" width="16.7109375" bestFit="1" customWidth="1"/>
    <col min="5" max="5" width="15.7109375" bestFit="1" customWidth="1"/>
    <col min="6" max="6" width="14.28515625" bestFit="1" customWidth="1"/>
    <col min="7" max="7" width="23.85546875" bestFit="1" customWidth="1"/>
    <col min="8" max="8" width="22.140625" bestFit="1" customWidth="1"/>
    <col min="9" max="9" width="24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18</v>
      </c>
      <c r="B2" t="s">
        <v>16</v>
      </c>
      <c r="C2">
        <v>3</v>
      </c>
      <c r="D2">
        <v>1.0004999999999999</v>
      </c>
      <c r="E2">
        <v>1.0476015354618571</v>
      </c>
      <c r="F2">
        <v>0.34089999999999998</v>
      </c>
      <c r="G2" t="s">
        <v>17</v>
      </c>
      <c r="H2" t="s">
        <v>17</v>
      </c>
      <c r="I2">
        <v>2.9714999999999998</v>
      </c>
    </row>
    <row r="3" spans="1:9" x14ac:dyDescent="0.25">
      <c r="A3" s="1" t="s">
        <v>15</v>
      </c>
      <c r="B3" t="s">
        <v>16</v>
      </c>
      <c r="C3">
        <v>3</v>
      </c>
      <c r="D3">
        <v>1.0004999999999999</v>
      </c>
      <c r="E3">
        <v>1.2881584694126249</v>
      </c>
      <c r="F3">
        <v>0.78390000000000004</v>
      </c>
      <c r="G3" t="s">
        <v>17</v>
      </c>
      <c r="H3" t="s">
        <v>17</v>
      </c>
      <c r="I3">
        <v>2.9195000000000002</v>
      </c>
    </row>
    <row r="4" spans="1:9" x14ac:dyDescent="0.25">
      <c r="A4" s="1" t="s">
        <v>19</v>
      </c>
      <c r="B4" t="s">
        <v>16</v>
      </c>
      <c r="C4">
        <v>3</v>
      </c>
      <c r="D4">
        <v>1.0004999999999999</v>
      </c>
      <c r="E4">
        <v>1.0802063368267121</v>
      </c>
      <c r="F4">
        <v>0.44269999999999998</v>
      </c>
      <c r="G4" t="s">
        <v>17</v>
      </c>
      <c r="H4" t="s">
        <v>17</v>
      </c>
      <c r="I4">
        <v>2.9544999999999999</v>
      </c>
    </row>
    <row r="5" spans="1:9" x14ac:dyDescent="0.25">
      <c r="A5" s="1" t="s">
        <v>20</v>
      </c>
      <c r="B5" t="s">
        <v>16</v>
      </c>
      <c r="C5">
        <v>3</v>
      </c>
      <c r="D5">
        <v>1.0004999999999999</v>
      </c>
      <c r="E5">
        <v>1.3859947355593469</v>
      </c>
      <c r="F5">
        <v>0.85389999999999999</v>
      </c>
      <c r="G5" t="s">
        <v>17</v>
      </c>
      <c r="H5" t="s">
        <v>17</v>
      </c>
      <c r="I5">
        <v>2.9904999999999999</v>
      </c>
    </row>
    <row r="8" spans="1:9" x14ac:dyDescent="0.25">
      <c r="B8" t="s">
        <v>25</v>
      </c>
      <c r="C8" t="s">
        <v>26</v>
      </c>
      <c r="D8" t="s">
        <v>28</v>
      </c>
      <c r="E8" t="s">
        <v>27</v>
      </c>
      <c r="F8" t="s">
        <v>6</v>
      </c>
      <c r="G8" t="s">
        <v>7</v>
      </c>
      <c r="H8" t="s">
        <v>8</v>
      </c>
    </row>
    <row r="9" spans="1:9" x14ac:dyDescent="0.25">
      <c r="A9" t="s">
        <v>24</v>
      </c>
      <c r="B9">
        <v>4</v>
      </c>
      <c r="C9">
        <f>MAX(Tabla5[I_max '[pu']])</f>
        <v>3</v>
      </c>
      <c r="D9" s="4">
        <f>SUM(Tabla5[I_max '[pu']])</f>
        <v>12</v>
      </c>
      <c r="E9" s="5" t="s">
        <v>29</v>
      </c>
      <c r="F9">
        <f>COUNTIF(Tabla5[Supera limite nominal],"Si")</f>
        <v>4</v>
      </c>
      <c r="G9">
        <f>COUNTIF(Tabla5[Supera limite critico],"Si")</f>
        <v>4</v>
      </c>
      <c r="H9">
        <f>MAX(Tabla5[Tiempo sobre limite '[s']])</f>
        <v>2.9904999999999999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36B3-36B6-441E-B32C-74E68C1D8371}">
  <dimension ref="A1:I12"/>
  <sheetViews>
    <sheetView workbookViewId="0">
      <selection activeCell="B12" sqref="B12:H12"/>
    </sheetView>
  </sheetViews>
  <sheetFormatPr baseColWidth="10" defaultRowHeight="15" x14ac:dyDescent="0.25"/>
  <cols>
    <col min="1" max="1" width="20.140625" bestFit="1" customWidth="1"/>
    <col min="2" max="3" width="14.5703125" bestFit="1" customWidth="1"/>
    <col min="4" max="4" width="16.7109375" bestFit="1" customWidth="1"/>
    <col min="5" max="5" width="15.7109375" bestFit="1" customWidth="1"/>
    <col min="6" max="6" width="14.28515625" bestFit="1" customWidth="1"/>
    <col min="7" max="7" width="23.85546875" bestFit="1" customWidth="1"/>
    <col min="8" max="8" width="22.140625" bestFit="1" customWidth="1"/>
    <col min="9" max="9" width="24.7109375" bestFit="1" customWidth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18</v>
      </c>
      <c r="B2" t="s">
        <v>16</v>
      </c>
      <c r="C2">
        <v>3</v>
      </c>
      <c r="D2">
        <v>1.0004999999999999</v>
      </c>
      <c r="E2">
        <v>0.86931069948817929</v>
      </c>
      <c r="F2">
        <v>0.34089999999999998</v>
      </c>
      <c r="G2" t="s">
        <v>17</v>
      </c>
      <c r="H2" t="s">
        <v>17</v>
      </c>
      <c r="I2">
        <v>1.6788000000000001</v>
      </c>
    </row>
    <row r="3" spans="1:9" x14ac:dyDescent="0.25">
      <c r="A3" s="1" t="s">
        <v>15</v>
      </c>
      <c r="B3" t="s">
        <v>16</v>
      </c>
      <c r="C3">
        <v>3</v>
      </c>
      <c r="D3">
        <v>1.0004999999999999</v>
      </c>
      <c r="E3">
        <v>0.96533000243724099</v>
      </c>
      <c r="F3">
        <v>0.78390000000000004</v>
      </c>
      <c r="G3" t="s">
        <v>17</v>
      </c>
      <c r="H3" t="s">
        <v>17</v>
      </c>
      <c r="I3">
        <v>0.2077</v>
      </c>
    </row>
    <row r="4" spans="1:9" x14ac:dyDescent="0.25">
      <c r="A4" s="1" t="s">
        <v>19</v>
      </c>
      <c r="B4" t="s">
        <v>16</v>
      </c>
      <c r="C4">
        <v>3</v>
      </c>
      <c r="D4">
        <v>1.0004999999999999</v>
      </c>
      <c r="E4">
        <v>0.88390514257860109</v>
      </c>
      <c r="F4">
        <v>0.44269999999999998</v>
      </c>
      <c r="G4" t="s">
        <v>17</v>
      </c>
      <c r="H4" t="s">
        <v>17</v>
      </c>
      <c r="I4">
        <v>0.504</v>
      </c>
    </row>
    <row r="5" spans="1:9" x14ac:dyDescent="0.25">
      <c r="A5" s="1" t="s">
        <v>20</v>
      </c>
      <c r="B5" t="s">
        <v>16</v>
      </c>
      <c r="C5">
        <v>3</v>
      </c>
      <c r="D5">
        <v>1.0004999999999999</v>
      </c>
      <c r="E5">
        <v>1.177379868388984</v>
      </c>
      <c r="F5">
        <v>0.83930000000000005</v>
      </c>
      <c r="G5" t="s">
        <v>17</v>
      </c>
      <c r="H5" t="s">
        <v>17</v>
      </c>
      <c r="I5">
        <v>2.9994999999999998</v>
      </c>
    </row>
    <row r="6" spans="1:9" x14ac:dyDescent="0.25">
      <c r="A6" s="1" t="s">
        <v>21</v>
      </c>
      <c r="B6" t="s">
        <v>16</v>
      </c>
      <c r="C6">
        <v>3</v>
      </c>
      <c r="D6">
        <v>1.0004999999999999</v>
      </c>
      <c r="E6">
        <v>0.96533000243724099</v>
      </c>
      <c r="F6">
        <v>0.78390000000000004</v>
      </c>
      <c r="G6" t="s">
        <v>17</v>
      </c>
      <c r="H6" t="s">
        <v>17</v>
      </c>
      <c r="I6">
        <v>0.2077</v>
      </c>
    </row>
    <row r="7" spans="1:9" x14ac:dyDescent="0.25">
      <c r="A7" s="1" t="s">
        <v>22</v>
      </c>
      <c r="B7" t="s">
        <v>16</v>
      </c>
      <c r="C7">
        <v>3</v>
      </c>
      <c r="D7">
        <v>1.0004999999999999</v>
      </c>
      <c r="E7">
        <v>0.88390514257860109</v>
      </c>
      <c r="F7">
        <v>0.44269999999999998</v>
      </c>
      <c r="G7" t="s">
        <v>17</v>
      </c>
      <c r="H7" t="s">
        <v>17</v>
      </c>
      <c r="I7">
        <v>0.504</v>
      </c>
    </row>
    <row r="8" spans="1:9" x14ac:dyDescent="0.25">
      <c r="A8" s="1" t="s">
        <v>23</v>
      </c>
      <c r="B8" t="s">
        <v>16</v>
      </c>
      <c r="C8">
        <v>3</v>
      </c>
      <c r="D8">
        <v>1.0004999999999999</v>
      </c>
      <c r="E8">
        <v>1.6463002680965151</v>
      </c>
      <c r="F8">
        <v>0.34089999999999998</v>
      </c>
      <c r="G8" t="s">
        <v>17</v>
      </c>
      <c r="H8" t="s">
        <v>17</v>
      </c>
      <c r="I8">
        <v>2.9994999999999998</v>
      </c>
    </row>
    <row r="11" spans="1:9" x14ac:dyDescent="0.25">
      <c r="B11" t="s">
        <v>25</v>
      </c>
      <c r="C11" t="s">
        <v>26</v>
      </c>
      <c r="D11" t="s">
        <v>28</v>
      </c>
      <c r="E11" t="s">
        <v>27</v>
      </c>
      <c r="F11" t="s">
        <v>6</v>
      </c>
      <c r="G11" t="s">
        <v>7</v>
      </c>
      <c r="H11" t="s">
        <v>8</v>
      </c>
    </row>
    <row r="12" spans="1:9" x14ac:dyDescent="0.25">
      <c r="A12" t="s">
        <v>24</v>
      </c>
      <c r="B12">
        <v>7</v>
      </c>
      <c r="C12">
        <f>MAX(Tabla6[I_max '[pu']])</f>
        <v>3</v>
      </c>
      <c r="D12" s="4">
        <f>SUM(Tabla6[I_max '[pu']])</f>
        <v>21</v>
      </c>
      <c r="E12" s="5" t="s">
        <v>29</v>
      </c>
      <c r="F12">
        <f>COUNTIF(Tabla6[Supera limite nominal],"Si")</f>
        <v>7</v>
      </c>
      <c r="G12">
        <f>COUNTIF(Tabla6[Supera limite critico],"Si")</f>
        <v>7</v>
      </c>
      <c r="H12">
        <f>MAX(Tabla6[Tiempo sobre limite '[s']])</f>
        <v>2.9994999999999998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EABF-4AC4-4D1E-8BE5-AF1AC48318F3}">
  <dimension ref="B2:I8"/>
  <sheetViews>
    <sheetView tabSelected="1" workbookViewId="0">
      <selection activeCell="B2" sqref="B2:B8"/>
    </sheetView>
  </sheetViews>
  <sheetFormatPr baseColWidth="10" defaultRowHeight="15" x14ac:dyDescent="0.25"/>
  <cols>
    <col min="2" max="2" width="29" bestFit="1" customWidth="1"/>
    <col min="3" max="3" width="19.85546875" bestFit="1" customWidth="1"/>
    <col min="4" max="4" width="17.85546875" bestFit="1" customWidth="1"/>
    <col min="5" max="5" width="28.5703125" bestFit="1" customWidth="1"/>
    <col min="6" max="6" width="38" bestFit="1" customWidth="1"/>
    <col min="7" max="7" width="21.7109375" bestFit="1" customWidth="1"/>
    <col min="8" max="8" width="20.28515625" bestFit="1" customWidth="1"/>
    <col min="9" max="9" width="22.28515625" bestFit="1" customWidth="1"/>
  </cols>
  <sheetData>
    <row r="2" spans="2:9" x14ac:dyDescent="0.25">
      <c r="B2" t="s">
        <v>30</v>
      </c>
      <c r="C2" t="s">
        <v>25</v>
      </c>
      <c r="D2" t="s">
        <v>26</v>
      </c>
      <c r="E2" t="s">
        <v>28</v>
      </c>
      <c r="F2" t="s">
        <v>31</v>
      </c>
      <c r="G2" t="s">
        <v>6</v>
      </c>
      <c r="H2" t="s">
        <v>7</v>
      </c>
      <c r="I2" t="s">
        <v>8</v>
      </c>
    </row>
    <row r="3" spans="2:9" x14ac:dyDescent="0.25">
      <c r="B3" t="s">
        <v>32</v>
      </c>
      <c r="C3">
        <v>0</v>
      </c>
      <c r="D3">
        <f>MAX(Tabla1[I_max '[pu']])</f>
        <v>4.7683</v>
      </c>
      <c r="E3" s="4">
        <f>SUM(Tabla1[I_max '[pu']])</f>
        <v>18.484500000000001</v>
      </c>
      <c r="F3" s="6">
        <f>(E3-$E$3)/$E$3</f>
        <v>0</v>
      </c>
      <c r="G3">
        <f>COUNTIF(Tabla1[Supera limite nominal],"Si")</f>
        <v>0</v>
      </c>
      <c r="H3">
        <f>COUNTIF(Tabla1[Supera limite critico],"Si")</f>
        <v>0</v>
      </c>
      <c r="I3">
        <f>MAX(Tabla1[Tiempo sobre limite '[s']])</f>
        <v>0</v>
      </c>
    </row>
    <row r="4" spans="2:9" x14ac:dyDescent="0.25">
      <c r="B4" t="s">
        <v>33</v>
      </c>
      <c r="C4">
        <v>1</v>
      </c>
      <c r="D4">
        <f>MAX(Tabla2[I_max '[pu']])</f>
        <v>4.6845999999999997</v>
      </c>
      <c r="E4" s="4">
        <f>SUM(Tabla2[I_max '[pu']])</f>
        <v>16.7622</v>
      </c>
      <c r="F4" s="6">
        <f t="shared" ref="F4:F8" si="0">(E4-$E$3)/$E$3</f>
        <v>-9.3175363142092058E-2</v>
      </c>
      <c r="G4">
        <f>COUNTIF(Tabla2[Supera limite nominal],"Si")</f>
        <v>1</v>
      </c>
      <c r="H4">
        <f>COUNTIF(Tabla2[Supera limite critico],"Si")</f>
        <v>1</v>
      </c>
      <c r="I4">
        <f>MAX(Tabla2[Tiempo sobre limite '[s']])</f>
        <v>0.19170000000000001</v>
      </c>
    </row>
    <row r="5" spans="2:9" x14ac:dyDescent="0.25">
      <c r="B5" t="s">
        <v>34</v>
      </c>
      <c r="C5">
        <v>2</v>
      </c>
      <c r="D5">
        <f>MAX(Tabla3[I_max '[pu']])</f>
        <v>4.6917999999999997</v>
      </c>
      <c r="E5" s="4">
        <f>SUM(Tabla3[I_max '[pu']])</f>
        <v>15.306999999999999</v>
      </c>
      <c r="F5" s="6">
        <f t="shared" si="0"/>
        <v>-0.17190078173604922</v>
      </c>
      <c r="G5">
        <f>COUNTIF(Tabla3[Supera limite nominal],"Si")</f>
        <v>2</v>
      </c>
      <c r="H5">
        <f>COUNTIF(Tabla3[Supera limite critico],"Si")</f>
        <v>2</v>
      </c>
      <c r="I5">
        <f>MAX(Tabla3[Tiempo sobre limite '[s']])</f>
        <v>0.1707000000000001</v>
      </c>
    </row>
    <row r="6" spans="2:9" x14ac:dyDescent="0.25">
      <c r="B6" t="s">
        <v>35</v>
      </c>
      <c r="C6">
        <v>3</v>
      </c>
      <c r="D6">
        <f>MAX(Tabla4[I_max '[pu']])</f>
        <v>4.7058</v>
      </c>
      <c r="E6" s="4">
        <f>SUM(Tabla4[I_max '[pu']])</f>
        <v>13.7058</v>
      </c>
      <c r="F6" s="6">
        <f t="shared" si="0"/>
        <v>-0.25852470989207177</v>
      </c>
      <c r="G6">
        <f>COUNTIF(Tabla4[Supera limite nominal],"Si")</f>
        <v>3</v>
      </c>
      <c r="H6">
        <f>COUNTIF(Tabla4[Supera limite critico],"Si")</f>
        <v>3</v>
      </c>
      <c r="I6">
        <f>MAX(Tabla4[Tiempo sobre limite '[s']])</f>
        <v>2.9994999999999998</v>
      </c>
    </row>
    <row r="7" spans="2:9" x14ac:dyDescent="0.25">
      <c r="B7" t="s">
        <v>36</v>
      </c>
      <c r="C7">
        <v>4</v>
      </c>
      <c r="D7">
        <f>MAX(Tabla5[I_max '[pu']])</f>
        <v>3</v>
      </c>
      <c r="E7" s="4">
        <f>SUM(Tabla5[I_max '[pu']])</f>
        <v>12</v>
      </c>
      <c r="F7" s="6">
        <f t="shared" si="0"/>
        <v>-0.35080743325488928</v>
      </c>
      <c r="G7">
        <f>COUNTIF(Tabla5[Supera limite nominal],"Si")</f>
        <v>4</v>
      </c>
      <c r="H7">
        <f>COUNTIF(Tabla5[Supera limite critico],"Si")</f>
        <v>4</v>
      </c>
      <c r="I7">
        <f>MAX(Tabla5[Tiempo sobre limite '[s']])</f>
        <v>2.9904999999999999</v>
      </c>
    </row>
    <row r="8" spans="2:9" x14ac:dyDescent="0.25">
      <c r="B8" t="s">
        <v>37</v>
      </c>
      <c r="C8">
        <v>7</v>
      </c>
      <c r="D8">
        <f>MAX(Tabla6[I_max '[pu']])</f>
        <v>3</v>
      </c>
      <c r="E8" s="4">
        <f>SUM(Tabla6[I_max '[pu']])</f>
        <v>21</v>
      </c>
      <c r="F8" s="6">
        <f t="shared" si="0"/>
        <v>0.13608699180394382</v>
      </c>
      <c r="G8">
        <f>COUNTIF(Tabla6[Supera limite nominal],"Si")</f>
        <v>7</v>
      </c>
      <c r="H8">
        <f>COUNTIF(Tabla6[Supera limite critico],"Si")</f>
        <v>7</v>
      </c>
      <c r="I8">
        <f>MAX(Tabla6[Tiempo sobre limite '[s']])</f>
        <v>2.9994999999999998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 cambios</vt:lpstr>
      <vt:lpstr>1 cambios</vt:lpstr>
      <vt:lpstr>2 cambios</vt:lpstr>
      <vt:lpstr>3 cambios</vt:lpstr>
      <vt:lpstr>4 cambios</vt:lpstr>
      <vt:lpstr>sobreinstalacion 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2026-06-05T19:29:26Z</dcterms:created>
  <dcterms:modified xsi:type="dcterms:W3CDTF">2026-06-06T05:32:48Z</dcterms:modified>
</cp:coreProperties>
</file>