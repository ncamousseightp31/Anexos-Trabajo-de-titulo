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7CA95499-E331-46CF-9DFB-50DE05019279}" xr6:coauthVersionLast="47" xr6:coauthVersionMax="47" xr10:uidLastSave="{00000000-0000-0000-0000-000000000000}"/>
  <bookViews>
    <workbookView xWindow="-120" yWindow="-120" windowWidth="29040" windowHeight="15720" activeTab="5" xr2:uid="{952D0855-E181-4779-A51A-E9F07AF977AF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Promedio por cas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6" l="1" a="1"/>
  <c r="J6" i="6" a="1"/>
  <c r="J5" i="6" a="1"/>
  <c r="J4" i="6" a="1"/>
  <c r="L2" i="5"/>
  <c r="L2" i="4"/>
  <c r="L2" i="3"/>
  <c r="L2" i="2"/>
  <c r="M2" i="1"/>
  <c r="L2" i="1"/>
  <c r="I18" i="1" a="1"/>
  <c r="H18" i="1"/>
  <c r="G18" i="1"/>
  <c r="F18" i="1"/>
  <c r="E18" i="1"/>
  <c r="D18" i="1"/>
  <c r="C18" i="1"/>
  <c r="B18" i="1"/>
  <c r="I18" i="5" a="1"/>
  <c r="H18" i="5"/>
  <c r="G18" i="5"/>
  <c r="F18" i="5"/>
  <c r="E18" i="5"/>
  <c r="D18" i="5"/>
  <c r="C18" i="5"/>
  <c r="B18" i="5"/>
  <c r="I18" i="4" a="1"/>
  <c r="H18" i="4"/>
  <c r="G18" i="4"/>
  <c r="F18" i="4"/>
  <c r="E18" i="4"/>
  <c r="D18" i="4"/>
  <c r="C18" i="4"/>
  <c r="B18" i="4"/>
  <c r="I18" i="3" a="1"/>
  <c r="H18" i="3"/>
  <c r="G18" i="3"/>
  <c r="F18" i="3"/>
  <c r="E18" i="3"/>
  <c r="D18" i="3"/>
  <c r="C18" i="3"/>
  <c r="B18" i="3"/>
  <c r="I18" i="2" a="1"/>
  <c r="H18" i="2"/>
  <c r="G18" i="2"/>
  <c r="F18" i="2"/>
  <c r="E18" i="2"/>
  <c r="C18" i="2"/>
  <c r="B18" i="2"/>
  <c r="D18" i="2"/>
  <c r="M2" i="5" l="1"/>
  <c r="J8" i="6" s="1" a="1"/>
  <c r="M2" i="4"/>
  <c r="M2" i="3"/>
  <c r="M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<sst xmlns="http://schemas.openxmlformats.org/spreadsheetml/2006/main" count="153" uniqueCount="35">
  <si>
    <t>Barra</t>
  </si>
  <si>
    <t>V_min [pu]</t>
  </si>
  <si>
    <t>V_max [pu]</t>
  </si>
  <si>
    <t>V_mean [pu]</t>
  </si>
  <si>
    <t>f_min [Hz]</t>
  </si>
  <si>
    <t>f_max [Hz]</t>
  </si>
  <si>
    <t>f_nadir [Hz]</t>
  </si>
  <si>
    <t>f_zenith [Hz]</t>
  </si>
  <si>
    <t>ROCOF_max [Hz/s]</t>
  </si>
  <si>
    <t>Maitencillo 220 kV</t>
  </si>
  <si>
    <t>Nehuenco 13.8 kV</t>
  </si>
  <si>
    <t>Paposo 220 kV</t>
  </si>
  <si>
    <t>Renca 110 kV</t>
  </si>
  <si>
    <t>San Isidro I 13.8 kV</t>
  </si>
  <si>
    <t>San Pedro 110 kV</t>
  </si>
  <si>
    <t>Valdivia 220 kV</t>
  </si>
  <si>
    <t>Alto Jahuel 220 kV</t>
  </si>
  <si>
    <t>Charrua 154 kV</t>
  </si>
  <si>
    <t>Charrua 220 kV</t>
  </si>
  <si>
    <t>Concepcion 220 kV</t>
  </si>
  <si>
    <t>Hualpen 154 kV</t>
  </si>
  <si>
    <t>Hualpen 220 kV</t>
  </si>
  <si>
    <t>Las Vegas 110 kV</t>
  </si>
  <si>
    <t>Toro 13.8kV</t>
  </si>
  <si>
    <t>Escenario</t>
  </si>
  <si>
    <t>Caso base</t>
  </si>
  <si>
    <t>Reemplazo 25%</t>
  </si>
  <si>
    <t>Reemplazo 50%</t>
  </si>
  <si>
    <t>Reemplazo 75%</t>
  </si>
  <si>
    <t>Reemplazo 100%</t>
  </si>
  <si>
    <t>Promedio del sistema</t>
  </si>
  <si>
    <t>Barras dentro de banda</t>
  </si>
  <si>
    <t>Total de barras</t>
  </si>
  <si>
    <t>Porcentaje dentro</t>
  </si>
  <si>
    <t>Barras dentro de banda frecuencia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</si>
</sst>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  <xf numFmtId="9" fontId="0" fillId="0" borderId="0" xfId="1" applyFont="1"/>
    <xf numFmtId="0" fontId="0" fillId="3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E4559-09BB-44F1-97F5-C237BA7F3EE3}" name="Tabla1" displayName="Tabla1" ref="A1:I16" headerRowDxfId="29" headerRowBorderDxfId="28" tableBorderDxfId="27">
  <autoFilter ref="A1:I16" xr:uid="{5EDE4559-09BB-44F1-97F5-C237BA7F3EE3}"/>
  <tableColumns count="9">
    <tableColumn id="1" xr3:uid="{205A9F9E-7653-4AD1-B64E-CB86E227B04F}" name="Barra" totalsRowLabel="Total" dataDxfId="26" totalsRowDxfId="25"/>
    <tableColumn id="2" xr3:uid="{DF104F28-B959-4790-83D8-E79B2E8A2664}" name="V_min [pu]" totalsRowFunction="average"/>
    <tableColumn id="3" xr3:uid="{A71F8673-97E0-4F8C-9738-1AEE85D0F770}" name="V_max [pu]" totalsRowFunction="average"/>
    <tableColumn id="4" xr3:uid="{5A3A55DE-5191-464C-BDF3-083E27B74D2D}" name="V_mean [pu]" totalsRowFunction="average"/>
    <tableColumn id="5" xr3:uid="{3E0E19FF-77C1-41CC-8ACA-F33D8D7EB21B}" name="f_min [Hz]" totalsRowFunction="average"/>
    <tableColumn id="6" xr3:uid="{32DA2CD2-8E11-4E79-918B-29EC90314273}" name="f_max [Hz]" totalsRowFunction="average"/>
    <tableColumn id="7" xr3:uid="{7C35758B-BB72-407A-9826-50057DA248E7}" name="f_nadir [Hz]" totalsRowFunction="average"/>
    <tableColumn id="8" xr3:uid="{21C5428E-532D-42A3-9EE6-0F2DC84F4BB8}" name="f_zenith [Hz]" totalsRowFunction="average"/>
    <tableColumn id="9" xr3:uid="{06EDD660-5BAD-4E74-8816-09535A79C1DA}" name="ROCOF_max [Hz/s]" totalsRowFunction="average"/>
  </tableColumns>
  <tableStyleInfo name="TableStyleMedium1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C3C81E-7497-4893-95B8-F054D7D6A477}" name="Tabla7" displayName="Tabla7" ref="K1:M2" totalsRowShown="0" headerRowCellStyle="Normal" dataCellStyle="Normal">
  <autoFilter ref="K1:M2" xr:uid="{E0C3C81E-7497-4893-95B8-F054D7D6A477}"/>
  <tableColumns count="3">
    <tableColumn id="1" xr3:uid="{30B6D36D-145E-4560-8C61-C31068ADA5A5}" name="Total de barras" dataCellStyle="Normal"/>
    <tableColumn id="2" xr3:uid="{EEEFDF9E-396C-4BD8-8F31-A216AC80572C}" name="Barras dentro de banda" dataCellStyle="Normal">
      <calculatedColumnFormula>COUNTIFS(G2:G16,"&gt;=49,5",H2:H16,"&lt;=50,5")</calculatedColumnFormula>
    </tableColumn>
    <tableColumn id="3" xr3:uid="{23D1C19F-C72E-4711-A6B8-A298F859389B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4730C-A204-450D-A53F-1E9254345284}" name="Tabla2" displayName="Tabla2" ref="A1:I16" totalsRowShown="0" headerRowDxfId="24" dataDxfId="22" headerRowBorderDxfId="23" tableBorderDxfId="21">
  <autoFilter ref="A1:I16" xr:uid="{F294730C-A204-450D-A53F-1E9254345284}"/>
  <tableColumns count="9">
    <tableColumn id="1" xr3:uid="{ACED6ED3-14C7-4136-A4A7-ED3751B444AA}" name="Barra" dataDxfId="20"/>
    <tableColumn id="2" xr3:uid="{8332C01F-696A-482F-87CD-B52AB44D2439}" name="V_min [pu]" dataDxfId="19"/>
    <tableColumn id="3" xr3:uid="{C691A447-D699-46B4-B44E-07E721E0B6AA}" name="V_max [pu]" dataDxfId="18"/>
    <tableColumn id="4" xr3:uid="{E9F61464-CFC2-4E72-90D8-DD322D59763D}" name="V_mean [pu]" dataDxfId="17"/>
    <tableColumn id="5" xr3:uid="{FD5D6DB0-4DC0-4D59-B12E-B65FA9150D78}" name="f_min [Hz]" dataDxfId="16"/>
    <tableColumn id="6" xr3:uid="{711E84E3-F6BB-4EEA-862C-A28E1B52C812}" name="f_max [Hz]" dataDxfId="15"/>
    <tableColumn id="7" xr3:uid="{CBA31EFE-46E3-4B61-800C-2650FD9B800F}" name="f_nadir [Hz]" dataDxfId="14"/>
    <tableColumn id="8" xr3:uid="{DE9BB52A-F8BB-4832-9677-494B44E6F39D}" name="f_zenith [Hz]" dataDxfId="13"/>
    <tableColumn id="9" xr3:uid="{2AD6FB92-B002-4702-8865-2DAF7460B316}" name="ROCOF_max [Hz/s]" dataDxfId="12"/>
  </tableColumns>
  <tableStyleInfo name="TableStyleMedium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AD633A-0429-4D45-8730-CF06A2D8CA8A}" name="Tabla79" displayName="Tabla79" ref="K1:M2" totalsRowShown="0" headerRowCellStyle="Normal" dataCellStyle="Normal">
  <autoFilter ref="K1:M2" xr:uid="{69AD633A-0429-4D45-8730-CF06A2D8CA8A}"/>
  <tableColumns count="3">
    <tableColumn id="1" xr3:uid="{E5FC320E-A506-40D8-899B-AD2A2BEF3941}" name="Total de barras" dataCellStyle="Normal"/>
    <tableColumn id="2" xr3:uid="{666B4974-FA9E-43A8-8C40-0E4A8593DDF2}" name="Barras dentro de banda" dataCellStyle="Normal">
      <calculatedColumnFormula>COUNTIFS(G2:G16,"&gt;=49,5",H2:H16,"&lt;=50,5")</calculatedColumnFormula>
    </tableColumn>
    <tableColumn id="3" xr3:uid="{2041345D-6E9E-4FD1-9D93-7499F56915F1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CE8CEC-A4D2-4102-8AA4-C65E8D3610B9}" name="Tabla3" displayName="Tabla3" ref="A1:I16" totalsRowShown="0" headerRowDxfId="11" headerRowBorderDxfId="10" tableBorderDxfId="9">
  <autoFilter ref="A1:I16" xr:uid="{DECE8CEC-A4D2-4102-8AA4-C65E8D3610B9}"/>
  <tableColumns count="9">
    <tableColumn id="1" xr3:uid="{60760F63-D836-4E07-A814-F4267E75DE6D}" name="Barra" dataDxfId="8"/>
    <tableColumn id="2" xr3:uid="{50F9FC4F-A7AB-4D20-AB05-B363D0C96D24}" name="V_min [pu]"/>
    <tableColumn id="3" xr3:uid="{8247BEC9-F75B-4AB2-BA50-3A59AD315FBA}" name="V_max [pu]"/>
    <tableColumn id="4" xr3:uid="{79DD3B49-85A9-4EA9-BE47-84758F6A4A06}" name="V_mean [pu]"/>
    <tableColumn id="5" xr3:uid="{588D5F71-8608-4C2E-B3D9-87644F9BF97B}" name="f_min [Hz]"/>
    <tableColumn id="6" xr3:uid="{EA97C774-D81F-4037-A27C-E7F0DB6834C5}" name="f_max [Hz]"/>
    <tableColumn id="7" xr3:uid="{0893A328-0098-4070-8D6A-AF687407AC45}" name="f_nadir [Hz]"/>
    <tableColumn id="8" xr3:uid="{92B4F1D0-1DBA-4B99-96B9-63EF67C2C546}" name="f_zenith [Hz]"/>
    <tableColumn id="9" xr3:uid="{82AD1C8B-0096-4639-AE7D-1C18BD46C152}" name="ROCOF_max [Hz/s]"/>
  </tableColumns>
  <tableStyleInfo name="TableStyleMedium5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526D2D-327E-482F-B93B-4876018ECFA8}" name="Tabla7910" displayName="Tabla7910" ref="K1:M2" totalsRowShown="0" headerRowCellStyle="Normal" dataCellStyle="Normal">
  <autoFilter ref="K1:M2" xr:uid="{F5526D2D-327E-482F-B93B-4876018ECFA8}"/>
  <tableColumns count="3">
    <tableColumn id="1" xr3:uid="{DDAB33E1-E524-413A-9563-6CA378C7282B}" name="Total de barras" dataCellStyle="Normal"/>
    <tableColumn id="2" xr3:uid="{788A6E0F-A3C9-4099-84E4-F94131630860}" name="Barras dentro de banda" dataCellStyle="Normal">
      <calculatedColumnFormula>COUNTIFS(G2:G16,"&gt;=49,5",H2:H16,"&lt;=50,5")</calculatedColumnFormula>
    </tableColumn>
    <tableColumn id="3" xr3:uid="{AFB9122F-4C92-45CF-8FFE-F9C1A12CBBF8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989047-7C24-4267-8D49-479434B38A99}" name="Tabla4" displayName="Tabla4" ref="A1:I16" totalsRowShown="0" headerRowDxfId="7" headerRowBorderDxfId="6" tableBorderDxfId="5">
  <autoFilter ref="A1:I16" xr:uid="{64989047-7C24-4267-8D49-479434B38A99}"/>
  <tableColumns count="9">
    <tableColumn id="1" xr3:uid="{8232953F-9C34-4455-A27B-3A402A279EB0}" name="Barra" dataDxfId="4"/>
    <tableColumn id="2" xr3:uid="{B3C38770-76A2-4207-AB11-F1E0AE8CE16A}" name="V_min [pu]"/>
    <tableColumn id="3" xr3:uid="{09549DAC-B30E-4AD1-ABB1-3DAC5AFC6A6A}" name="V_max [pu]"/>
    <tableColumn id="4" xr3:uid="{9A1D172C-5A6C-485E-8EC1-2F36D31AA9D4}" name="V_mean [pu]"/>
    <tableColumn id="5" xr3:uid="{DEC6D82B-B00B-42CC-9C01-53F5EEFFEF8A}" name="f_min [Hz]"/>
    <tableColumn id="6" xr3:uid="{2D0779C5-DEFD-40E1-9BD6-D4E71963E855}" name="f_max [Hz]"/>
    <tableColumn id="7" xr3:uid="{359B4D18-163B-43E9-B439-A16B6AC4FC0D}" name="f_nadir [Hz]"/>
    <tableColumn id="8" xr3:uid="{D3A52254-0F1C-4E32-9A37-D28439EED0F1}" name="f_zenith [Hz]"/>
    <tableColumn id="9" xr3:uid="{D99415ED-67A6-4A67-83AD-D770AA54ADD6}" name="ROCOF_max [Hz/s]"/>
  </tableColumns>
  <tableStyleInfo name="TableStyleMedium5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263C42-33EA-4D9E-A763-1891074CC349}" name="Tabla791011" displayName="Tabla791011" ref="K1:M2" totalsRowShown="0" headerRowCellStyle="Normal" dataCellStyle="Normal">
  <autoFilter ref="K1:M2" xr:uid="{0F263C42-33EA-4D9E-A763-1891074CC349}"/>
  <tableColumns count="3">
    <tableColumn id="1" xr3:uid="{6BDBB1A5-AE5F-4409-AEDE-62D3CA7F6648}" name="Total de barras" dataCellStyle="Normal"/>
    <tableColumn id="2" xr3:uid="{8113B77C-349E-4882-8FDC-B351CA66587B}" name="Barras dentro de banda" dataCellStyle="Normal">
      <calculatedColumnFormula>COUNTIFS(G2:G16,"&gt;=49,5",H2:H16,"&lt;=50,5")</calculatedColumnFormula>
    </tableColumn>
    <tableColumn id="3" xr3:uid="{17284E50-30FE-4D8B-A42B-891BB97C5397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8A9C19-1BDF-4FF7-BAC4-75FA89AF3FCA}" name="Tabla5" displayName="Tabla5" ref="A1:I16" totalsRowShown="0" headerRowDxfId="3" headerRowBorderDxfId="2" tableBorderDxfId="1">
  <autoFilter ref="A1:I16" xr:uid="{C88A9C19-1BDF-4FF7-BAC4-75FA89AF3FCA}"/>
  <tableColumns count="9">
    <tableColumn id="1" xr3:uid="{CCB6CAA7-3039-4DB0-A30E-4FCD4AF3D0CB}" name="Barra" dataDxfId="0"/>
    <tableColumn id="2" xr3:uid="{5C093ABC-89C9-46AE-88EC-A6F2C5E73B4E}" name="V_min [pu]"/>
    <tableColumn id="3" xr3:uid="{C8AD1F4C-EFB8-41AB-AD54-37C2D481E9CC}" name="V_max [pu]"/>
    <tableColumn id="4" xr3:uid="{021BDE9C-7365-4273-9027-05ED62804B88}" name="V_mean [pu]"/>
    <tableColumn id="5" xr3:uid="{00A17A29-6D64-4D87-9218-D639238022E1}" name="f_min [Hz]"/>
    <tableColumn id="6" xr3:uid="{95E450E5-CB92-404F-93FF-9849300BB896}" name="f_max [Hz]"/>
    <tableColumn id="7" xr3:uid="{780EBA93-B01E-4D8B-A34F-F7362FF31DBD}" name="f_nadir [Hz]"/>
    <tableColumn id="8" xr3:uid="{49A40B04-C57F-43D4-A007-AD15A8390DC6}" name="f_zenith [Hz]"/>
    <tableColumn id="9" xr3:uid="{593E7921-81B8-4632-A9F2-017A99431365}" name="ROCOF_max [Hz/s]"/>
  </tableColumns>
  <tableStyleInfo name="TableStyleMedium5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0EBD4D-A9F4-4E26-9262-D164A0ECDCDC}" name="Tabla79101113" displayName="Tabla79101113" ref="K1:M2" totalsRowShown="0" headerRowCellStyle="Normal" dataCellStyle="Normal">
  <autoFilter ref="K1:M2" xr:uid="{EA0EBD4D-A9F4-4E26-9262-D164A0ECDCDC}"/>
  <tableColumns count="3">
    <tableColumn id="1" xr3:uid="{3A342FEA-0B95-4D83-8410-7E2C9C33D6BE}" name="Total de barras" dataCellStyle="Normal"/>
    <tableColumn id="2" xr3:uid="{6750CC7B-5370-4966-95F9-3A7EEC34C2F6}" name="Barras dentro de banda" dataCellStyle="Normal">
      <calculatedColumnFormula>COUNTIFS(G2:G16,"&gt;=49,5",H2:H16,"&lt;=50,5")</calculatedColumnFormula>
    </tableColumn>
    <tableColumn id="3" xr3:uid="{A9F1727E-E2AB-4754-A9E4-02054C840FE2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3799CC-A2F2-4623-8466-6EB63712B3DD}" name="Tabla6" displayName="Tabla6" ref="C3:J8" totalsRowShown="0" headerRowDxfId="38" headerRowBorderDxfId="37" tableBorderDxfId="36">
  <autoFilter ref="C3:J8" xr:uid="{133799CC-A2F2-4623-8466-6EB63712B3DD}"/>
  <tableColumns count="8">
    <tableColumn id="1" xr3:uid="{0F775349-8CBC-47B5-988F-60B1BC7F70A4}" name="Escenario"/>
    <tableColumn id="2" xr3:uid="{57B6A42C-1E8D-45FF-AA7E-1FA808184141}" name="V_min [pu]" dataDxfId="35"/>
    <tableColumn id="3" xr3:uid="{2DC9DCFB-D9DA-44E5-84DA-BD3AE62B8AAF}" name="V_max [pu]" dataDxfId="34"/>
    <tableColumn id="4" xr3:uid="{8020A4BE-884B-493B-A31A-23C8AD0559BE}" name="V_mean [pu]" dataDxfId="33"/>
    <tableColumn id="7" xr3:uid="{8B5C5691-D77D-4B4B-9330-BECB6E21AA92}" name="f_nadir [Hz]" dataDxfId="32"/>
    <tableColumn id="8" xr3:uid="{EE5CDDFC-CA50-4A9C-A4D8-27F642B7C8B2}" name="f_zenith [Hz]" dataDxfId="31"/>
    <tableColumn id="9" xr3:uid="{51D100CD-C4E2-4D00-88E6-6244AF176E5D}" name="ROCOF_max [Hz/s]" dataDxfId="30"/>
    <tableColumn id="5" xr3:uid="{85000D79-4330-4A1B-B022-20369205062B}" name="Barras dentro de banda frecuencia [%]" dataCellStyle="Porcentaje">
      <calculatedColumnFormula array="1">Tabla7[Porcentaje dentro]</calculatedColumnFormula>
    </tableColumn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8337-A954-4233-8515-CBAB5C9DAB23}">
  <dimension ref="A1:M18"/>
  <sheetViews>
    <sheetView workbookViewId="0">
      <selection activeCell="K1" sqref="K1:M2"/>
    </sheetView>
  </sheetViews>
  <sheetFormatPr baseColWidth="10" defaultRowHeight="15" x14ac:dyDescent="0.25"/>
  <cols>
    <col min="1" max="1" width="20.42578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  <col min="11" max="11" width="16.28515625" customWidth="1"/>
    <col min="12" max="12" width="23.5703125" customWidth="1"/>
    <col min="13" max="13" width="19.28515625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32</v>
      </c>
      <c r="L1" t="s">
        <v>31</v>
      </c>
      <c r="M1" t="s">
        <v>33</v>
      </c>
    </row>
    <row r="2" spans="1:13" x14ac:dyDescent="0.25">
      <c r="A2" s="2" t="s">
        <v>9</v>
      </c>
      <c r="B2">
        <v>1.0472999999999999</v>
      </c>
      <c r="C2">
        <v>1.0505</v>
      </c>
      <c r="D2">
        <v>1.049720143285571</v>
      </c>
      <c r="E2">
        <v>49.6145</v>
      </c>
      <c r="F2">
        <v>50.305</v>
      </c>
      <c r="G2" s="8">
        <v>49.6145</v>
      </c>
      <c r="H2" s="8">
        <v>50.305</v>
      </c>
      <c r="I2">
        <v>-3.2865898520245719E-2</v>
      </c>
      <c r="K2">
        <v>15</v>
      </c>
      <c r="L2">
        <f>COUNTIFS(G2:G16,"&gt;=49,5",H2:H16,"&lt;=50,5")</f>
        <v>9</v>
      </c>
      <c r="M2" s="9">
        <f>L2/K2</f>
        <v>0.6</v>
      </c>
    </row>
    <row r="3" spans="1:13" x14ac:dyDescent="0.25">
      <c r="A3" s="2" t="s">
        <v>10</v>
      </c>
      <c r="B3">
        <v>1.0003</v>
      </c>
      <c r="C3">
        <v>1.01</v>
      </c>
      <c r="D3">
        <v>1.008365678107298</v>
      </c>
      <c r="E3">
        <v>48.029200000000003</v>
      </c>
      <c r="F3">
        <v>51.313400000000001</v>
      </c>
      <c r="G3">
        <v>48.029200000000003</v>
      </c>
      <c r="H3">
        <v>51.313400000000001</v>
      </c>
      <c r="I3">
        <v>-3.9897346290951818E-2</v>
      </c>
    </row>
    <row r="4" spans="1:13" x14ac:dyDescent="0.25">
      <c r="A4" s="2" t="s">
        <v>11</v>
      </c>
      <c r="B4">
        <v>1.0394000000000001</v>
      </c>
      <c r="C4">
        <v>1.0402</v>
      </c>
      <c r="D4">
        <v>1.039827640786404</v>
      </c>
      <c r="E4">
        <v>49.664000000000001</v>
      </c>
      <c r="F4">
        <v>50.287799999999997</v>
      </c>
      <c r="G4" s="8">
        <v>49.664000000000001</v>
      </c>
      <c r="H4" s="8">
        <v>50.287799999999997</v>
      </c>
      <c r="I4">
        <v>-4.3515399212000122E-2</v>
      </c>
    </row>
    <row r="5" spans="1:13" x14ac:dyDescent="0.25">
      <c r="A5" s="2" t="s">
        <v>12</v>
      </c>
      <c r="B5">
        <v>1.0165</v>
      </c>
      <c r="C5">
        <v>1.0203</v>
      </c>
      <c r="D5">
        <v>1.0182151782739091</v>
      </c>
      <c r="E5">
        <v>49.465200000000003</v>
      </c>
      <c r="F5">
        <v>50.377000000000002</v>
      </c>
      <c r="G5">
        <v>49.465200000000003</v>
      </c>
      <c r="H5" s="8">
        <v>50.377000000000002</v>
      </c>
      <c r="I5">
        <v>-2.7808092144864561E-2</v>
      </c>
    </row>
    <row r="6" spans="1:13" x14ac:dyDescent="0.25">
      <c r="A6" s="2" t="s">
        <v>13</v>
      </c>
      <c r="B6">
        <v>1.0286</v>
      </c>
      <c r="C6">
        <v>1.0402</v>
      </c>
      <c r="D6">
        <v>1.0384229423525491</v>
      </c>
      <c r="E6">
        <v>47.846400000000003</v>
      </c>
      <c r="F6">
        <v>51.410200000000003</v>
      </c>
      <c r="G6">
        <v>47.846400000000003</v>
      </c>
      <c r="H6">
        <v>51.410200000000003</v>
      </c>
      <c r="I6">
        <v>-3.8876554809351288E-2</v>
      </c>
    </row>
    <row r="7" spans="1:13" x14ac:dyDescent="0.25">
      <c r="A7" s="2" t="s">
        <v>14</v>
      </c>
      <c r="B7">
        <v>1.0019</v>
      </c>
      <c r="C7">
        <v>1.01</v>
      </c>
      <c r="D7">
        <v>1.008325741419527</v>
      </c>
      <c r="E7">
        <v>48.624899999999997</v>
      </c>
      <c r="F7">
        <v>50.976599999999998</v>
      </c>
      <c r="G7">
        <v>48.624899999999997</v>
      </c>
      <c r="H7">
        <v>50.976599999999998</v>
      </c>
      <c r="I7">
        <v>-3.820112001705768E-2</v>
      </c>
    </row>
    <row r="8" spans="1:13" x14ac:dyDescent="0.25">
      <c r="A8" s="2" t="s">
        <v>15</v>
      </c>
      <c r="B8">
        <v>1.0217000000000001</v>
      </c>
      <c r="C8">
        <v>1.0235000000000001</v>
      </c>
      <c r="D8">
        <v>1.0224241919360211</v>
      </c>
      <c r="E8">
        <v>49.732999999999997</v>
      </c>
      <c r="F8">
        <v>50.137999999999998</v>
      </c>
      <c r="G8" s="8">
        <v>49.732999999999997</v>
      </c>
      <c r="H8" s="8">
        <v>50.137999999999998</v>
      </c>
      <c r="I8">
        <v>-2.2642654017515002E-2</v>
      </c>
    </row>
    <row r="9" spans="1:13" x14ac:dyDescent="0.25">
      <c r="A9" s="2" t="s">
        <v>16</v>
      </c>
      <c r="B9">
        <v>0.98740000000000006</v>
      </c>
      <c r="C9">
        <v>0.99229999999999996</v>
      </c>
      <c r="D9">
        <v>0.98993680439853382</v>
      </c>
      <c r="E9">
        <v>49.26</v>
      </c>
      <c r="F9">
        <v>50.646599999999999</v>
      </c>
      <c r="G9">
        <v>49.26</v>
      </c>
      <c r="H9">
        <v>50.646599999999999</v>
      </c>
      <c r="I9">
        <v>-2.895283385198482E-2</v>
      </c>
    </row>
    <row r="10" spans="1:13" x14ac:dyDescent="0.25">
      <c r="A10" s="2" t="s">
        <v>17</v>
      </c>
      <c r="B10">
        <v>1.0282</v>
      </c>
      <c r="C10">
        <v>1.0302</v>
      </c>
      <c r="D10">
        <v>1.0289858713762079</v>
      </c>
      <c r="E10">
        <v>49.586500000000001</v>
      </c>
      <c r="F10">
        <v>50.25</v>
      </c>
      <c r="G10" s="8">
        <v>49.586500000000001</v>
      </c>
      <c r="H10" s="8">
        <v>50.25</v>
      </c>
      <c r="I10">
        <v>-2.4105653661809268E-2</v>
      </c>
    </row>
    <row r="11" spans="1:13" x14ac:dyDescent="0.25">
      <c r="A11" s="2" t="s">
        <v>18</v>
      </c>
      <c r="B11">
        <v>1.0327999999999999</v>
      </c>
      <c r="C11">
        <v>1.0351999999999999</v>
      </c>
      <c r="D11">
        <v>1.0337940853048979</v>
      </c>
      <c r="E11">
        <v>49.515799999999999</v>
      </c>
      <c r="F11">
        <v>50.293199999999999</v>
      </c>
      <c r="G11" s="8">
        <v>49.515799999999999</v>
      </c>
      <c r="H11" s="8">
        <v>50.293199999999999</v>
      </c>
      <c r="I11">
        <v>-2.3972841558754541E-2</v>
      </c>
    </row>
    <row r="12" spans="1:13" x14ac:dyDescent="0.25">
      <c r="A12" s="2" t="s">
        <v>19</v>
      </c>
      <c r="B12">
        <v>0.95499999999999996</v>
      </c>
      <c r="C12">
        <v>0.95689999999999997</v>
      </c>
      <c r="D12">
        <v>0.95562192602465834</v>
      </c>
      <c r="E12">
        <v>49.591000000000001</v>
      </c>
      <c r="F12">
        <v>50.219099999999997</v>
      </c>
      <c r="G12" s="8">
        <v>49.591000000000001</v>
      </c>
      <c r="H12" s="8">
        <v>50.219099999999997</v>
      </c>
      <c r="I12">
        <v>-2.421390465395221E-2</v>
      </c>
    </row>
    <row r="13" spans="1:13" x14ac:dyDescent="0.25">
      <c r="A13" s="2" t="s">
        <v>20</v>
      </c>
      <c r="B13">
        <v>0.97870000000000001</v>
      </c>
      <c r="C13">
        <v>0.98060000000000003</v>
      </c>
      <c r="D13">
        <v>0.97929225258247266</v>
      </c>
      <c r="E13">
        <v>49.5852</v>
      </c>
      <c r="F13">
        <v>50.255299999999998</v>
      </c>
      <c r="G13" s="8">
        <v>49.5852</v>
      </c>
      <c r="H13" s="8">
        <v>50.255299999999998</v>
      </c>
      <c r="I13">
        <v>-2.4571385067116439E-2</v>
      </c>
    </row>
    <row r="14" spans="1:13" x14ac:dyDescent="0.25">
      <c r="A14" s="2" t="s">
        <v>21</v>
      </c>
      <c r="B14">
        <v>0.98870000000000002</v>
      </c>
      <c r="C14">
        <v>0.99070000000000003</v>
      </c>
      <c r="D14">
        <v>0.98928307230923018</v>
      </c>
      <c r="E14">
        <v>49.559399999999997</v>
      </c>
      <c r="F14">
        <v>50.260399999999997</v>
      </c>
      <c r="G14" s="8">
        <v>49.559399999999997</v>
      </c>
      <c r="H14" s="8">
        <v>50.260399999999997</v>
      </c>
      <c r="I14">
        <v>-2.4500329748146601E-2</v>
      </c>
    </row>
    <row r="15" spans="1:13" x14ac:dyDescent="0.25">
      <c r="A15" s="2" t="s">
        <v>22</v>
      </c>
      <c r="B15">
        <v>0.99350000000000005</v>
      </c>
      <c r="C15">
        <v>0.99870000000000003</v>
      </c>
      <c r="D15">
        <v>0.99740741419526824</v>
      </c>
      <c r="E15">
        <v>49.109900000000003</v>
      </c>
      <c r="F15">
        <v>50.674500000000002</v>
      </c>
      <c r="G15">
        <v>49.109900000000003</v>
      </c>
      <c r="H15">
        <v>50.674500000000002</v>
      </c>
      <c r="I15">
        <v>-3.7320562860556648E-2</v>
      </c>
    </row>
    <row r="16" spans="1:13" x14ac:dyDescent="0.25">
      <c r="A16" s="2" t="s">
        <v>23</v>
      </c>
      <c r="B16">
        <v>1.0469999999999999</v>
      </c>
      <c r="C16">
        <v>1.0481</v>
      </c>
      <c r="D16">
        <v>1.0474618960346549</v>
      </c>
      <c r="E16">
        <v>49.7851</v>
      </c>
      <c r="F16">
        <v>50.134099999999997</v>
      </c>
      <c r="G16" s="8">
        <v>49.7851</v>
      </c>
      <c r="H16" s="8">
        <v>50.134099999999997</v>
      </c>
      <c r="I16">
        <v>-2.3632565199324398E-2</v>
      </c>
    </row>
    <row r="18" spans="1:9" x14ac:dyDescent="0.25">
      <c r="A18" s="5" t="s">
        <v>30</v>
      </c>
      <c r="B18" s="6">
        <f>MIN(B2:B16)</f>
        <v>0.95499999999999996</v>
      </c>
      <c r="C18" s="6">
        <f>MAX(C2:C16)</f>
        <v>1.0505</v>
      </c>
      <c r="D18" s="6">
        <f t="shared" ref="D18" si="0">AVERAGE(D2:D16)</f>
        <v>1.0138056558924802</v>
      </c>
      <c r="E18" s="6">
        <f>MIN(E2:E16)</f>
        <v>47.846400000000003</v>
      </c>
      <c r="F18" s="6">
        <f>MAX(F2:F16)</f>
        <v>51.410200000000003</v>
      </c>
      <c r="G18" s="6">
        <f>MIN(G2:G16)</f>
        <v>47.846400000000003</v>
      </c>
      <c r="H18" s="6">
        <f>MAX(H2:H16)</f>
        <v>51.410200000000003</v>
      </c>
      <c r="I18" s="6" cm="1">
        <f t="array" ref="I18">_xlfn.XLOOKUP(MAX(ABS(I2:I16)),ABS(I2:I16),I2:I16)</f>
        <v>-4.3515399212000122E-2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AA9D-C65C-4298-84F0-4A004517DA02}">
  <dimension ref="A1:M18"/>
  <sheetViews>
    <sheetView workbookViewId="0">
      <selection activeCell="G30" sqref="G30"/>
    </sheetView>
  </sheetViews>
  <sheetFormatPr baseColWidth="10" defaultRowHeight="15" x14ac:dyDescent="0.25"/>
  <cols>
    <col min="1" max="1" width="20.42578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  <col min="11" max="11" width="16.42578125" bestFit="1" customWidth="1"/>
    <col min="12" max="12" width="24.140625" bestFit="1" customWidth="1"/>
    <col min="13" max="13" width="19.5703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32</v>
      </c>
      <c r="L1" t="s">
        <v>31</v>
      </c>
      <c r="M1" t="s">
        <v>33</v>
      </c>
    </row>
    <row r="2" spans="1:13" x14ac:dyDescent="0.25">
      <c r="A2" s="2" t="s">
        <v>9</v>
      </c>
      <c r="B2" s="1">
        <v>1.0471999999999999</v>
      </c>
      <c r="C2" s="1">
        <v>1.0503</v>
      </c>
      <c r="D2" s="1">
        <v>1.0496199100299901</v>
      </c>
      <c r="E2" s="1">
        <v>49.6145</v>
      </c>
      <c r="F2" s="1">
        <v>50.305199999999999</v>
      </c>
      <c r="G2" s="10">
        <v>49.6145</v>
      </c>
      <c r="H2" s="10">
        <v>50.305199999999999</v>
      </c>
      <c r="I2" s="1">
        <v>-3.2156916229488693E-2</v>
      </c>
      <c r="K2">
        <v>15</v>
      </c>
      <c r="L2">
        <f>COUNTIFS(G2:G16,"&gt;=49,5",H2:H16,"&lt;=50,5")</f>
        <v>9</v>
      </c>
      <c r="M2" s="9">
        <f>L2/K2</f>
        <v>0.6</v>
      </c>
    </row>
    <row r="3" spans="1:13" x14ac:dyDescent="0.25">
      <c r="A3" s="2" t="s">
        <v>10</v>
      </c>
      <c r="B3" s="1">
        <v>1.0003</v>
      </c>
      <c r="C3" s="1">
        <v>1.01</v>
      </c>
      <c r="D3" s="1">
        <v>1.0083567310896371</v>
      </c>
      <c r="E3" s="1">
        <v>48.029000000000003</v>
      </c>
      <c r="F3" s="1">
        <v>51.313299999999998</v>
      </c>
      <c r="G3" s="1">
        <v>48.029000000000003</v>
      </c>
      <c r="H3" s="1">
        <v>51.313299999999998</v>
      </c>
      <c r="I3" s="1">
        <v>-3.9532900458774299E-2</v>
      </c>
    </row>
    <row r="4" spans="1:13" x14ac:dyDescent="0.25">
      <c r="A4" s="2" t="s">
        <v>11</v>
      </c>
      <c r="B4" s="1">
        <v>1.0392999999999999</v>
      </c>
      <c r="C4" s="1">
        <v>1.0402</v>
      </c>
      <c r="D4" s="1">
        <v>1.0397501166277909</v>
      </c>
      <c r="E4" s="1">
        <v>49.664000000000001</v>
      </c>
      <c r="F4" s="1">
        <v>50.287799999999997</v>
      </c>
      <c r="G4" s="10">
        <v>49.664000000000001</v>
      </c>
      <c r="H4" s="10">
        <v>50.287799999999997</v>
      </c>
      <c r="I4" s="1">
        <v>-4.2645204556120649E-2</v>
      </c>
    </row>
    <row r="5" spans="1:13" x14ac:dyDescent="0.25">
      <c r="A5" s="2" t="s">
        <v>12</v>
      </c>
      <c r="B5" s="1">
        <v>1.0165</v>
      </c>
      <c r="C5" s="1">
        <v>1.0203</v>
      </c>
      <c r="D5" s="1">
        <v>1.018183138953682</v>
      </c>
      <c r="E5" s="1">
        <v>49.464399999999998</v>
      </c>
      <c r="F5" s="1">
        <v>50.375</v>
      </c>
      <c r="G5" s="1">
        <v>49.464399999999998</v>
      </c>
      <c r="H5" s="10">
        <v>50.375</v>
      </c>
      <c r="I5" s="1">
        <v>-2.6747557092513918E-2</v>
      </c>
    </row>
    <row r="6" spans="1:13" x14ac:dyDescent="0.25">
      <c r="A6" s="2" t="s">
        <v>13</v>
      </c>
      <c r="B6" s="1">
        <v>1.0286</v>
      </c>
      <c r="C6" s="1">
        <v>1.0402</v>
      </c>
      <c r="D6" s="1">
        <v>1.038404631789404</v>
      </c>
      <c r="E6" s="1">
        <v>47.846200000000003</v>
      </c>
      <c r="F6" s="1">
        <v>51.4101</v>
      </c>
      <c r="G6" s="1">
        <v>47.846200000000003</v>
      </c>
      <c r="H6" s="1">
        <v>51.4101</v>
      </c>
      <c r="I6" s="1">
        <v>-3.8527030103293503E-2</v>
      </c>
    </row>
    <row r="7" spans="1:13" x14ac:dyDescent="0.25">
      <c r="A7" s="2" t="s">
        <v>14</v>
      </c>
      <c r="B7" s="1">
        <v>1.0019</v>
      </c>
      <c r="C7" s="1">
        <v>1.01</v>
      </c>
      <c r="D7" s="1">
        <v>1.008305931356215</v>
      </c>
      <c r="E7" s="1">
        <v>48.624699999999997</v>
      </c>
      <c r="F7" s="1">
        <v>50.975700000000003</v>
      </c>
      <c r="G7" s="1">
        <v>48.624699999999997</v>
      </c>
      <c r="H7" s="1">
        <v>50.975700000000003</v>
      </c>
      <c r="I7" s="1">
        <v>-3.7831338124180783E-2</v>
      </c>
    </row>
    <row r="8" spans="1:13" x14ac:dyDescent="0.25">
      <c r="A8" s="2" t="s">
        <v>15</v>
      </c>
      <c r="B8" s="1">
        <v>1.0217000000000001</v>
      </c>
      <c r="C8" s="1">
        <v>1.0234000000000001</v>
      </c>
      <c r="D8" s="1">
        <v>1.0223664445184939</v>
      </c>
      <c r="E8" s="1">
        <v>49.740200000000002</v>
      </c>
      <c r="F8" s="1">
        <v>50.131999999999998</v>
      </c>
      <c r="G8" s="10">
        <v>49.740200000000002</v>
      </c>
      <c r="H8" s="10">
        <v>50.131999999999998</v>
      </c>
      <c r="I8" s="1">
        <v>-2.0285758502389669E-2</v>
      </c>
    </row>
    <row r="9" spans="1:13" x14ac:dyDescent="0.25">
      <c r="A9" s="2" t="s">
        <v>16</v>
      </c>
      <c r="B9" s="1">
        <v>0.98729999999999996</v>
      </c>
      <c r="C9" s="1">
        <v>0.99229999999999996</v>
      </c>
      <c r="D9" s="1">
        <v>0.98983390536487825</v>
      </c>
      <c r="E9" s="1">
        <v>49.256399999999999</v>
      </c>
      <c r="F9" s="1">
        <v>50.645400000000002</v>
      </c>
      <c r="G9" s="1">
        <v>49.256399999999999</v>
      </c>
      <c r="H9" s="1">
        <v>50.645400000000002</v>
      </c>
      <c r="I9" s="1">
        <v>-2.7775810048219648E-2</v>
      </c>
    </row>
    <row r="10" spans="1:13" x14ac:dyDescent="0.25">
      <c r="A10" s="2" t="s">
        <v>17</v>
      </c>
      <c r="B10" s="1">
        <v>1.028</v>
      </c>
      <c r="C10" s="1">
        <v>1.03</v>
      </c>
      <c r="D10" s="1">
        <v>1.02885568143952</v>
      </c>
      <c r="E10" s="1">
        <v>49.6145</v>
      </c>
      <c r="F10" s="1">
        <v>50.238700000000001</v>
      </c>
      <c r="G10" s="10">
        <v>49.6145</v>
      </c>
      <c r="H10" s="10">
        <v>50.238700000000001</v>
      </c>
      <c r="I10" s="1">
        <v>-2.0730376051043761E-2</v>
      </c>
    </row>
    <row r="11" spans="1:13" x14ac:dyDescent="0.25">
      <c r="A11" s="2" t="s">
        <v>18</v>
      </c>
      <c r="B11" s="1">
        <v>1.0326</v>
      </c>
      <c r="C11" s="1">
        <v>1.0349999999999999</v>
      </c>
      <c r="D11" s="1">
        <v>1.033666127957348</v>
      </c>
      <c r="E11" s="1">
        <v>49.532899999999998</v>
      </c>
      <c r="F11" s="1">
        <v>50.285299999999999</v>
      </c>
      <c r="G11" s="10">
        <v>49.532899999999998</v>
      </c>
      <c r="H11" s="10">
        <v>50.285299999999999</v>
      </c>
      <c r="I11" s="1">
        <v>-2.0840593834448851E-2</v>
      </c>
    </row>
    <row r="12" spans="1:13" x14ac:dyDescent="0.25">
      <c r="A12" s="2" t="s">
        <v>19</v>
      </c>
      <c r="B12" s="1">
        <v>0.95479999999999998</v>
      </c>
      <c r="C12" s="1">
        <v>0.95669999999999999</v>
      </c>
      <c r="D12" s="1">
        <v>0.9555188937020993</v>
      </c>
      <c r="E12" s="1">
        <v>49.612099999999998</v>
      </c>
      <c r="F12" s="1">
        <v>50.218899999999998</v>
      </c>
      <c r="G12" s="10">
        <v>49.612099999999998</v>
      </c>
      <c r="H12" s="10">
        <v>50.218899999999998</v>
      </c>
      <c r="I12" s="1">
        <v>-2.0323961350694471E-2</v>
      </c>
    </row>
    <row r="13" spans="1:13" x14ac:dyDescent="0.25">
      <c r="A13" s="2" t="s">
        <v>20</v>
      </c>
      <c r="B13" s="1">
        <v>0.97860000000000003</v>
      </c>
      <c r="C13" s="1">
        <v>0.98040000000000005</v>
      </c>
      <c r="D13" s="1">
        <v>0.9791756081306231</v>
      </c>
      <c r="E13" s="1">
        <v>49.630600000000001</v>
      </c>
      <c r="F13" s="1">
        <v>50.2241</v>
      </c>
      <c r="G13" s="10">
        <v>49.630600000000001</v>
      </c>
      <c r="H13" s="10">
        <v>50.2241</v>
      </c>
      <c r="I13" s="1">
        <v>-1.991172221757494E-2</v>
      </c>
    </row>
    <row r="14" spans="1:13" x14ac:dyDescent="0.25">
      <c r="A14" s="2" t="s">
        <v>21</v>
      </c>
      <c r="B14" s="1">
        <v>0.98860000000000003</v>
      </c>
      <c r="C14" s="1">
        <v>0.99060000000000004</v>
      </c>
      <c r="D14" s="1">
        <v>0.98918068977007667</v>
      </c>
      <c r="E14" s="1">
        <v>49.594900000000003</v>
      </c>
      <c r="F14" s="1">
        <v>50.240299999999998</v>
      </c>
      <c r="G14" s="10">
        <v>49.594900000000003</v>
      </c>
      <c r="H14" s="10">
        <v>50.240299999999998</v>
      </c>
      <c r="I14" s="1">
        <v>-2.0075146152504639E-2</v>
      </c>
    </row>
    <row r="15" spans="1:13" x14ac:dyDescent="0.25">
      <c r="A15" s="2" t="s">
        <v>22</v>
      </c>
      <c r="B15" s="1">
        <v>0.99350000000000005</v>
      </c>
      <c r="C15" s="1">
        <v>0.99870000000000003</v>
      </c>
      <c r="D15" s="1">
        <v>0.99738983672109283</v>
      </c>
      <c r="E15" s="1">
        <v>49.109699999999997</v>
      </c>
      <c r="F15" s="1">
        <v>50.673699999999997</v>
      </c>
      <c r="G15" s="1">
        <v>49.109699999999997</v>
      </c>
      <c r="H15" s="1">
        <v>50.673699999999997</v>
      </c>
      <c r="I15" s="1">
        <v>-3.6974835597138239E-2</v>
      </c>
    </row>
    <row r="16" spans="1:13" x14ac:dyDescent="0.25">
      <c r="A16" s="2" t="s">
        <v>23</v>
      </c>
      <c r="B16" s="1">
        <v>1.0468999999999999</v>
      </c>
      <c r="C16" s="1">
        <v>1.048</v>
      </c>
      <c r="D16" s="1">
        <v>1.04742739086971</v>
      </c>
      <c r="E16" s="1">
        <v>49.792200000000001</v>
      </c>
      <c r="F16" s="1">
        <v>50.133899999999997</v>
      </c>
      <c r="G16" s="10">
        <v>49.792200000000001</v>
      </c>
      <c r="H16" s="10">
        <v>50.133899999999997</v>
      </c>
      <c r="I16" s="1">
        <v>-2.0973439688921892E-2</v>
      </c>
    </row>
    <row r="18" spans="1:9" x14ac:dyDescent="0.25">
      <c r="A18" s="5" t="s">
        <v>30</v>
      </c>
      <c r="B18" s="6">
        <f>MIN(B2:B16)</f>
        <v>0.95479999999999998</v>
      </c>
      <c r="C18" s="6">
        <f>MAX(C2:C16)</f>
        <v>1.0503</v>
      </c>
      <c r="D18" s="6">
        <f t="shared" ref="D18" si="0">AVERAGE(D2:D16)</f>
        <v>1.0137356692213708</v>
      </c>
      <c r="E18" s="6">
        <f>MIN(E2:E16)</f>
        <v>47.846200000000003</v>
      </c>
      <c r="F18" s="6">
        <f>MAX(F2:F16)</f>
        <v>51.4101</v>
      </c>
      <c r="G18" s="6">
        <f>MIN(G2:G16)</f>
        <v>47.846200000000003</v>
      </c>
      <c r="H18" s="6">
        <f>MAX(H2:H16)</f>
        <v>51.4101</v>
      </c>
      <c r="I18" s="6" cm="1">
        <f t="array" ref="I18">_xlfn.XLOOKUP(MAX(ABS(I2:I16)),ABS(I2:I16),I2:I16)</f>
        <v>-4.2645204556120649E-2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1871-5026-4111-AA0C-C9DCBC45680F}">
  <dimension ref="A1:M18"/>
  <sheetViews>
    <sheetView workbookViewId="0">
      <selection activeCell="K19" sqref="K19"/>
    </sheetView>
  </sheetViews>
  <sheetFormatPr baseColWidth="10" defaultRowHeight="15" x14ac:dyDescent="0.25"/>
  <cols>
    <col min="1" max="1" width="20.42578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  <col min="11" max="11" width="16.42578125" bestFit="1" customWidth="1"/>
    <col min="12" max="12" width="24.140625" bestFit="1" customWidth="1"/>
    <col min="13" max="13" width="19.5703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32</v>
      </c>
      <c r="L1" t="s">
        <v>31</v>
      </c>
      <c r="M1" t="s">
        <v>33</v>
      </c>
    </row>
    <row r="2" spans="1:13" x14ac:dyDescent="0.25">
      <c r="A2" s="2" t="s">
        <v>9</v>
      </c>
      <c r="B2">
        <v>0.98729999999999996</v>
      </c>
      <c r="C2">
        <v>0.99229999999999996</v>
      </c>
      <c r="D2">
        <v>0.98992160946351215</v>
      </c>
      <c r="E2">
        <v>49.615099999999998</v>
      </c>
      <c r="F2">
        <v>50.304400000000001</v>
      </c>
      <c r="G2" s="8">
        <v>49.615099999999998</v>
      </c>
      <c r="H2" s="8">
        <v>50.304400000000001</v>
      </c>
      <c r="I2">
        <v>-3.0024899820213349E-2</v>
      </c>
      <c r="K2">
        <v>15</v>
      </c>
      <c r="L2">
        <f>COUNTIFS(G2:G16,"&gt;=49,5",H2:H16,"&lt;=50,5")</f>
        <v>9</v>
      </c>
      <c r="M2" s="9">
        <f>L2/K2</f>
        <v>0.6</v>
      </c>
    </row>
    <row r="3" spans="1:13" x14ac:dyDescent="0.25">
      <c r="A3" s="2" t="s">
        <v>10</v>
      </c>
      <c r="B3">
        <v>1.0281</v>
      </c>
      <c r="C3">
        <v>1.03</v>
      </c>
      <c r="D3">
        <v>1.0288659113628791</v>
      </c>
      <c r="E3">
        <v>48.029499999999999</v>
      </c>
      <c r="F3">
        <v>51.3127</v>
      </c>
      <c r="G3">
        <v>48.029499999999999</v>
      </c>
      <c r="H3">
        <v>51.3127</v>
      </c>
      <c r="I3">
        <v>-3.830787912810478E-2</v>
      </c>
    </row>
    <row r="4" spans="1:13" x14ac:dyDescent="0.25">
      <c r="A4" s="2" t="s">
        <v>11</v>
      </c>
      <c r="B4">
        <v>1.0327999999999999</v>
      </c>
      <c r="C4">
        <v>1.0350999999999999</v>
      </c>
      <c r="D4">
        <v>1.033732089303566</v>
      </c>
      <c r="E4">
        <v>49.6646</v>
      </c>
      <c r="F4">
        <v>50.287300000000002</v>
      </c>
      <c r="G4" s="8">
        <v>49.6646</v>
      </c>
      <c r="H4" s="8">
        <v>50.287300000000002</v>
      </c>
      <c r="I4">
        <v>-4.001583711836406E-2</v>
      </c>
    </row>
    <row r="5" spans="1:13" x14ac:dyDescent="0.25">
      <c r="A5" s="2" t="s">
        <v>12</v>
      </c>
      <c r="B5">
        <v>0.95489999999999997</v>
      </c>
      <c r="C5">
        <v>0.95669999999999999</v>
      </c>
      <c r="D5">
        <v>0.95551326224591804</v>
      </c>
      <c r="E5">
        <v>49.471400000000003</v>
      </c>
      <c r="F5">
        <v>50.369500000000002</v>
      </c>
      <c r="G5">
        <v>49.471400000000003</v>
      </c>
      <c r="H5" s="8">
        <v>50.369500000000002</v>
      </c>
      <c r="I5">
        <v>-2.5354064796202631E-2</v>
      </c>
    </row>
    <row r="6" spans="1:13" x14ac:dyDescent="0.25">
      <c r="A6" s="2" t="s">
        <v>13</v>
      </c>
      <c r="B6">
        <v>0.97850000000000004</v>
      </c>
      <c r="C6">
        <v>0.98019999999999996</v>
      </c>
      <c r="D6">
        <v>0.97906646117960672</v>
      </c>
      <c r="E6">
        <v>47.846600000000002</v>
      </c>
      <c r="F6">
        <v>51.409300000000002</v>
      </c>
      <c r="G6">
        <v>47.846600000000002</v>
      </c>
      <c r="H6">
        <v>51.409300000000002</v>
      </c>
      <c r="I6">
        <v>-3.7245459200567883E-2</v>
      </c>
    </row>
    <row r="7" spans="1:13" x14ac:dyDescent="0.25">
      <c r="A7" s="2" t="s">
        <v>14</v>
      </c>
      <c r="B7">
        <v>0.98839999999999995</v>
      </c>
      <c r="C7">
        <v>0.99019999999999997</v>
      </c>
      <c r="D7">
        <v>0.98898807064311889</v>
      </c>
      <c r="E7">
        <v>48.691699999999997</v>
      </c>
      <c r="F7">
        <v>50.964399999999998</v>
      </c>
      <c r="G7">
        <v>48.691699999999997</v>
      </c>
      <c r="H7">
        <v>50.964399999999998</v>
      </c>
      <c r="I7">
        <v>-3.5409730321368717E-2</v>
      </c>
    </row>
    <row r="8" spans="1:13" x14ac:dyDescent="0.25">
      <c r="A8" s="2" t="s">
        <v>15</v>
      </c>
      <c r="B8">
        <v>0.99399999999999999</v>
      </c>
      <c r="C8">
        <v>0.99870000000000003</v>
      </c>
      <c r="D8">
        <v>0.99717390869710099</v>
      </c>
      <c r="E8">
        <v>49.740299999999998</v>
      </c>
      <c r="F8">
        <v>50.124699999999997</v>
      </c>
      <c r="G8" s="8">
        <v>49.740299999999998</v>
      </c>
      <c r="H8" s="8">
        <v>50.124699999999997</v>
      </c>
      <c r="I8">
        <v>-1.810311884832955E-2</v>
      </c>
    </row>
    <row r="9" spans="1:13" x14ac:dyDescent="0.25">
      <c r="A9" s="2" t="s">
        <v>16</v>
      </c>
      <c r="B9">
        <v>1.0472999999999999</v>
      </c>
      <c r="C9">
        <v>1.0505</v>
      </c>
      <c r="D9">
        <v>1.049679740086638</v>
      </c>
      <c r="E9">
        <v>49.256100000000004</v>
      </c>
      <c r="F9">
        <v>50.648899999999998</v>
      </c>
      <c r="G9">
        <v>49.256100000000004</v>
      </c>
      <c r="H9">
        <v>50.648899999999998</v>
      </c>
      <c r="I9">
        <v>-2.534431996938102E-2</v>
      </c>
    </row>
    <row r="10" spans="1:13" x14ac:dyDescent="0.25">
      <c r="A10" s="2" t="s">
        <v>17</v>
      </c>
      <c r="B10">
        <v>1.0003</v>
      </c>
      <c r="C10">
        <v>1.01</v>
      </c>
      <c r="D10">
        <v>1.0083696601132961</v>
      </c>
      <c r="E10">
        <v>49.613199999999999</v>
      </c>
      <c r="F10">
        <v>50.237499999999997</v>
      </c>
      <c r="G10" s="8">
        <v>49.613199999999999</v>
      </c>
      <c r="H10" s="8">
        <v>50.237499999999997</v>
      </c>
      <c r="I10">
        <v>-1.791992651377473E-2</v>
      </c>
    </row>
    <row r="11" spans="1:13" x14ac:dyDescent="0.25">
      <c r="A11" s="2" t="s">
        <v>18</v>
      </c>
      <c r="B11">
        <v>1.0394000000000001</v>
      </c>
      <c r="C11">
        <v>1.0402</v>
      </c>
      <c r="D11">
        <v>1.03982829056981</v>
      </c>
      <c r="E11">
        <v>49.531199999999998</v>
      </c>
      <c r="F11">
        <v>50.282200000000003</v>
      </c>
      <c r="G11" s="8">
        <v>49.531199999999998</v>
      </c>
      <c r="H11" s="8">
        <v>50.282200000000003</v>
      </c>
      <c r="I11">
        <v>-1.8108251375686779E-2</v>
      </c>
    </row>
    <row r="12" spans="1:13" x14ac:dyDescent="0.25">
      <c r="A12" s="2" t="s">
        <v>19</v>
      </c>
      <c r="B12">
        <v>1.0165</v>
      </c>
      <c r="C12">
        <v>1.0203</v>
      </c>
      <c r="D12">
        <v>1.018178773742086</v>
      </c>
      <c r="E12">
        <v>49.618899999999996</v>
      </c>
      <c r="F12">
        <v>50.23</v>
      </c>
      <c r="G12" s="8">
        <v>49.618899999999996</v>
      </c>
      <c r="H12" s="8">
        <v>50.23</v>
      </c>
      <c r="I12">
        <v>-1.689336658627456E-2</v>
      </c>
    </row>
    <row r="13" spans="1:13" x14ac:dyDescent="0.25">
      <c r="A13" s="2" t="s">
        <v>20</v>
      </c>
      <c r="B13">
        <v>1.0286</v>
      </c>
      <c r="C13">
        <v>1.0402</v>
      </c>
      <c r="D13">
        <v>1.0383951849383539</v>
      </c>
      <c r="E13">
        <v>49.680300000000003</v>
      </c>
      <c r="F13">
        <v>50.228000000000002</v>
      </c>
      <c r="G13" s="8">
        <v>49.680300000000003</v>
      </c>
      <c r="H13" s="8">
        <v>50.228000000000002</v>
      </c>
      <c r="I13">
        <v>-1.585085294428416E-2</v>
      </c>
    </row>
    <row r="14" spans="1:13" x14ac:dyDescent="0.25">
      <c r="A14" s="2" t="s">
        <v>21</v>
      </c>
      <c r="B14">
        <v>1.002</v>
      </c>
      <c r="C14">
        <v>1.01</v>
      </c>
      <c r="D14">
        <v>1.0082301899366879</v>
      </c>
      <c r="E14">
        <v>49.6783</v>
      </c>
      <c r="F14">
        <v>50.262999999999998</v>
      </c>
      <c r="G14" s="8">
        <v>49.6783</v>
      </c>
      <c r="H14" s="8">
        <v>50.262999999999998</v>
      </c>
      <c r="I14">
        <v>-1.5901213231857791E-2</v>
      </c>
    </row>
    <row r="15" spans="1:13" x14ac:dyDescent="0.25">
      <c r="A15" s="2" t="s">
        <v>22</v>
      </c>
      <c r="B15">
        <v>1.0217000000000001</v>
      </c>
      <c r="C15">
        <v>1.0234000000000001</v>
      </c>
      <c r="D15">
        <v>1.022359163612129</v>
      </c>
      <c r="E15">
        <v>49.3735</v>
      </c>
      <c r="F15">
        <v>50.618299999999998</v>
      </c>
      <c r="G15">
        <v>49.3735</v>
      </c>
      <c r="H15">
        <v>50.618299999999998</v>
      </c>
      <c r="I15">
        <v>-3.2872927181653418E-2</v>
      </c>
    </row>
    <row r="16" spans="1:13" x14ac:dyDescent="0.25">
      <c r="A16" s="2" t="s">
        <v>23</v>
      </c>
      <c r="B16">
        <v>1.0469999999999999</v>
      </c>
      <c r="C16">
        <v>1.048</v>
      </c>
      <c r="D16">
        <v>1.0474466177940689</v>
      </c>
      <c r="E16">
        <v>49.7913</v>
      </c>
      <c r="F16">
        <v>50.131999999999998</v>
      </c>
      <c r="G16" s="8">
        <v>49.7913</v>
      </c>
      <c r="H16" s="8">
        <v>50.131999999999998</v>
      </c>
      <c r="I16">
        <v>-1.8637124910259789E-2</v>
      </c>
    </row>
    <row r="18" spans="1:9" x14ac:dyDescent="0.25">
      <c r="A18" s="5" t="s">
        <v>30</v>
      </c>
      <c r="B18" s="6">
        <f>MIN(B2:B16)</f>
        <v>0.95489999999999997</v>
      </c>
      <c r="C18" s="6">
        <f>MAX(C2:C16)</f>
        <v>1.0505</v>
      </c>
      <c r="D18" s="6">
        <f t="shared" ref="D18" si="0">AVERAGE(D2:D16)</f>
        <v>1.0137165955792513</v>
      </c>
      <c r="E18" s="6">
        <f>MIN(E2:E16)</f>
        <v>47.846600000000002</v>
      </c>
      <c r="F18" s="6">
        <f>MAX(F2:F16)</f>
        <v>51.409300000000002</v>
      </c>
      <c r="G18" s="6">
        <f>MIN(G2:G16)</f>
        <v>47.846600000000002</v>
      </c>
      <c r="H18" s="6">
        <f>MAX(H2:H16)</f>
        <v>51.409300000000002</v>
      </c>
      <c r="I18" s="6" cm="1">
        <f t="array" ref="I18">_xlfn.XLOOKUP(MAX(ABS(I2:I16)),ABS(I2:I16),I2:I16)</f>
        <v>-4.001583711836406E-2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7DAD-6FA2-4A63-9508-1B17FBADC7E1}">
  <dimension ref="A1:M18"/>
  <sheetViews>
    <sheetView workbookViewId="0">
      <selection activeCell="H16" activeCellId="10" sqref="H2 H4 H5 H8 H10 H11 H12 H13 H14 H15 H16"/>
    </sheetView>
  </sheetViews>
  <sheetFormatPr baseColWidth="10" defaultRowHeight="15" x14ac:dyDescent="0.25"/>
  <cols>
    <col min="1" max="1" width="20.42578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  <col min="11" max="11" width="16.42578125" bestFit="1" customWidth="1"/>
    <col min="12" max="12" width="24.140625" bestFit="1" customWidth="1"/>
    <col min="13" max="13" width="19.5703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32</v>
      </c>
      <c r="L1" t="s">
        <v>31</v>
      </c>
      <c r="M1" t="s">
        <v>33</v>
      </c>
    </row>
    <row r="2" spans="1:13" x14ac:dyDescent="0.25">
      <c r="A2" s="2" t="s">
        <v>9</v>
      </c>
      <c r="B2">
        <v>1.0471999999999999</v>
      </c>
      <c r="C2">
        <v>1.0505</v>
      </c>
      <c r="D2">
        <v>1.049987954015329</v>
      </c>
      <c r="E2">
        <v>49.732100000000003</v>
      </c>
      <c r="F2">
        <v>50.264600000000002</v>
      </c>
      <c r="G2" s="8">
        <v>49.732100000000003</v>
      </c>
      <c r="H2" s="8">
        <v>50.264600000000002</v>
      </c>
      <c r="I2">
        <v>-2.2853414049526968E-2</v>
      </c>
      <c r="K2">
        <v>15</v>
      </c>
      <c r="L2">
        <f>COUNTIFS(G2:G16,"&gt;=49,5",H2:H16,"&lt;=50,5")</f>
        <v>10</v>
      </c>
      <c r="M2" s="9">
        <f>L2/K2</f>
        <v>0.66666666666666663</v>
      </c>
    </row>
    <row r="3" spans="1:13" x14ac:dyDescent="0.25">
      <c r="A3" s="2" t="s">
        <v>10</v>
      </c>
      <c r="B3">
        <v>1.0008999999999999</v>
      </c>
      <c r="C3">
        <v>1.01</v>
      </c>
      <c r="D3">
        <v>1.008198817060979</v>
      </c>
      <c r="E3">
        <v>48.178699999999999</v>
      </c>
      <c r="F3">
        <v>51.191400000000002</v>
      </c>
      <c r="G3">
        <v>48.178699999999999</v>
      </c>
      <c r="H3">
        <v>51.191400000000002</v>
      </c>
      <c r="I3">
        <v>-3.1493065029614707E-2</v>
      </c>
    </row>
    <row r="4" spans="1:13" x14ac:dyDescent="0.25">
      <c r="A4" s="2" t="s">
        <v>11</v>
      </c>
      <c r="B4">
        <v>1.0384</v>
      </c>
      <c r="C4">
        <v>1.04</v>
      </c>
      <c r="D4">
        <v>1.038913762079307</v>
      </c>
      <c r="E4">
        <v>49.771500000000003</v>
      </c>
      <c r="F4">
        <v>50.408099999999997</v>
      </c>
      <c r="G4" s="8">
        <v>49.771500000000003</v>
      </c>
      <c r="H4" s="8">
        <v>50.408099999999997</v>
      </c>
      <c r="I4">
        <v>-2.4826509893895361E-2</v>
      </c>
    </row>
    <row r="5" spans="1:13" x14ac:dyDescent="0.25">
      <c r="A5" s="2" t="s">
        <v>12</v>
      </c>
      <c r="B5">
        <v>1.0165999999999999</v>
      </c>
      <c r="C5">
        <v>1.0201</v>
      </c>
      <c r="D5">
        <v>1.0181585138287239</v>
      </c>
      <c r="E5">
        <v>49.496099999999998</v>
      </c>
      <c r="F5">
        <v>50.363399999999999</v>
      </c>
      <c r="G5">
        <v>49.496099999999998</v>
      </c>
      <c r="H5" s="8">
        <v>50.363399999999999</v>
      </c>
      <c r="I5">
        <v>-2.1733200513874829E-2</v>
      </c>
    </row>
    <row r="6" spans="1:13" x14ac:dyDescent="0.25">
      <c r="A6" s="2" t="s">
        <v>13</v>
      </c>
      <c r="B6">
        <v>1.0288999999999999</v>
      </c>
      <c r="C6">
        <v>1.04</v>
      </c>
      <c r="D6">
        <v>1.038312595801399</v>
      </c>
      <c r="E6">
        <v>47.914000000000001</v>
      </c>
      <c r="F6">
        <v>51.3581</v>
      </c>
      <c r="G6">
        <v>47.914000000000001</v>
      </c>
      <c r="H6">
        <v>51.3581</v>
      </c>
      <c r="I6">
        <v>-3.280100017826388E-2</v>
      </c>
    </row>
    <row r="7" spans="1:13" x14ac:dyDescent="0.25">
      <c r="A7" s="2" t="s">
        <v>14</v>
      </c>
      <c r="B7">
        <v>1.0035000000000001</v>
      </c>
      <c r="C7">
        <v>1.01</v>
      </c>
      <c r="D7">
        <v>1.0078556647784069</v>
      </c>
      <c r="E7">
        <v>49.034300000000002</v>
      </c>
      <c r="F7">
        <v>50.7288</v>
      </c>
      <c r="G7">
        <v>49.034300000000002</v>
      </c>
      <c r="H7">
        <v>50.7288</v>
      </c>
      <c r="I7">
        <v>-2.6346186970046981E-2</v>
      </c>
    </row>
    <row r="8" spans="1:13" x14ac:dyDescent="0.25">
      <c r="A8" s="2" t="s">
        <v>15</v>
      </c>
      <c r="B8">
        <v>1.0217000000000001</v>
      </c>
      <c r="C8">
        <v>1.0234000000000001</v>
      </c>
      <c r="D8">
        <v>1.0223486171276239</v>
      </c>
      <c r="E8">
        <v>49.764200000000002</v>
      </c>
      <c r="F8">
        <v>50.106099999999998</v>
      </c>
      <c r="G8" s="8">
        <v>49.764200000000002</v>
      </c>
      <c r="H8" s="8">
        <v>50.106099999999998</v>
      </c>
      <c r="I8">
        <v>-1.145923827109523E-2</v>
      </c>
    </row>
    <row r="9" spans="1:13" x14ac:dyDescent="0.25">
      <c r="A9" s="2" t="s">
        <v>16</v>
      </c>
      <c r="B9">
        <v>0.98019999999999996</v>
      </c>
      <c r="C9">
        <v>0.98499999999999999</v>
      </c>
      <c r="D9">
        <v>0.98262064311896025</v>
      </c>
      <c r="E9">
        <v>49.2881</v>
      </c>
      <c r="F9">
        <v>50.6509</v>
      </c>
      <c r="G9">
        <v>49.2881</v>
      </c>
      <c r="H9">
        <v>50.6509</v>
      </c>
      <c r="I9">
        <v>-1.7112176179017301E-2</v>
      </c>
    </row>
    <row r="10" spans="1:13" x14ac:dyDescent="0.25">
      <c r="A10" s="2" t="s">
        <v>17</v>
      </c>
      <c r="B10">
        <v>1.0284</v>
      </c>
      <c r="C10">
        <v>1.03</v>
      </c>
      <c r="D10">
        <v>1.028950016661113</v>
      </c>
      <c r="E10">
        <v>49.648800000000001</v>
      </c>
      <c r="F10">
        <v>50.226700000000001</v>
      </c>
      <c r="G10" s="8">
        <v>49.648800000000001</v>
      </c>
      <c r="H10" s="8">
        <v>50.226700000000001</v>
      </c>
      <c r="I10">
        <v>-1.126585989107377E-2</v>
      </c>
    </row>
    <row r="11" spans="1:13" x14ac:dyDescent="0.25">
      <c r="A11" s="2" t="s">
        <v>18</v>
      </c>
      <c r="B11">
        <v>1.0257000000000001</v>
      </c>
      <c r="C11">
        <v>1.0275000000000001</v>
      </c>
      <c r="D11">
        <v>1.026352899033655</v>
      </c>
      <c r="E11">
        <v>49.570999999999998</v>
      </c>
      <c r="F11">
        <v>50.270400000000002</v>
      </c>
      <c r="G11" s="8">
        <v>49.570999999999998</v>
      </c>
      <c r="H11" s="8">
        <v>50.270400000000002</v>
      </c>
      <c r="I11">
        <v>-1.142537402311229E-2</v>
      </c>
    </row>
    <row r="12" spans="1:13" x14ac:dyDescent="0.25">
      <c r="A12" s="2" t="s">
        <v>19</v>
      </c>
      <c r="B12">
        <v>0.95189999999999997</v>
      </c>
      <c r="C12">
        <v>0.95330000000000004</v>
      </c>
      <c r="D12">
        <v>0.95231699433522154</v>
      </c>
      <c r="E12">
        <v>49.6616</v>
      </c>
      <c r="F12">
        <v>50.331299999999999</v>
      </c>
      <c r="G12" s="8">
        <v>49.6616</v>
      </c>
      <c r="H12" s="8">
        <v>50.331299999999999</v>
      </c>
      <c r="I12">
        <v>-1.29791060601469E-2</v>
      </c>
    </row>
    <row r="13" spans="1:13" x14ac:dyDescent="0.25">
      <c r="A13" s="2" t="s">
        <v>20</v>
      </c>
      <c r="B13">
        <v>0.97860000000000003</v>
      </c>
      <c r="C13">
        <v>0.98</v>
      </c>
      <c r="D13">
        <v>0.97899658447184268</v>
      </c>
      <c r="E13">
        <v>49.703200000000002</v>
      </c>
      <c r="F13">
        <v>50.398099999999999</v>
      </c>
      <c r="G13" s="8">
        <v>49.703200000000002</v>
      </c>
      <c r="H13" s="8">
        <v>50.398099999999999</v>
      </c>
      <c r="I13">
        <v>-1.7095758281660638E-2</v>
      </c>
    </row>
    <row r="14" spans="1:13" x14ac:dyDescent="0.25">
      <c r="A14" s="2" t="s">
        <v>21</v>
      </c>
      <c r="B14">
        <v>0.98860000000000003</v>
      </c>
      <c r="C14">
        <v>0.99</v>
      </c>
      <c r="D14">
        <v>0.98899965011662772</v>
      </c>
      <c r="E14">
        <v>49.694200000000002</v>
      </c>
      <c r="F14">
        <v>50.435099999999998</v>
      </c>
      <c r="G14" s="8">
        <v>49.694200000000002</v>
      </c>
      <c r="H14" s="8">
        <v>50.435099999999998</v>
      </c>
      <c r="I14">
        <v>-1.6146043155967339E-2</v>
      </c>
    </row>
    <row r="15" spans="1:13" x14ac:dyDescent="0.25">
      <c r="A15" s="2" t="s">
        <v>22</v>
      </c>
      <c r="B15">
        <v>0.99480000000000002</v>
      </c>
      <c r="C15">
        <v>0.99870000000000003</v>
      </c>
      <c r="D15">
        <v>0.99700151616127974</v>
      </c>
      <c r="E15">
        <v>49.525100000000002</v>
      </c>
      <c r="F15">
        <v>50.473300000000002</v>
      </c>
      <c r="G15" s="8">
        <v>49.525100000000002</v>
      </c>
      <c r="H15" s="8">
        <v>50.473300000000002</v>
      </c>
      <c r="I15">
        <v>-2.863500823170724E-2</v>
      </c>
    </row>
    <row r="16" spans="1:13" x14ac:dyDescent="0.25">
      <c r="A16" s="2" t="s">
        <v>23</v>
      </c>
      <c r="B16">
        <v>1.0471999999999999</v>
      </c>
      <c r="C16">
        <v>1.0481</v>
      </c>
      <c r="D16">
        <v>1.047504381872709</v>
      </c>
      <c r="E16">
        <v>49.817399999999999</v>
      </c>
      <c r="F16">
        <v>50.122300000000003</v>
      </c>
      <c r="G16" s="8">
        <v>49.817399999999999</v>
      </c>
      <c r="H16" s="8">
        <v>50.122300000000003</v>
      </c>
      <c r="I16">
        <v>-1.221730588343522E-2</v>
      </c>
    </row>
    <row r="18" spans="1:9" x14ac:dyDescent="0.25">
      <c r="A18" s="5" t="s">
        <v>30</v>
      </c>
      <c r="B18" s="6">
        <f>MIN(B2:B16)</f>
        <v>0.95189999999999997</v>
      </c>
      <c r="C18" s="6">
        <f>MAX(C2:C16)</f>
        <v>1.0505</v>
      </c>
      <c r="D18" s="6">
        <f t="shared" ref="D18" si="0">AVERAGE(D2:D16)</f>
        <v>1.0124345740308784</v>
      </c>
      <c r="E18" s="6">
        <f>MIN(E2:E16)</f>
        <v>47.914000000000001</v>
      </c>
      <c r="F18" s="6">
        <f>MAX(F2:F16)</f>
        <v>51.3581</v>
      </c>
      <c r="G18" s="6">
        <f>MIN(G2:G16)</f>
        <v>47.914000000000001</v>
      </c>
      <c r="H18" s="6">
        <f>MAX(H2:H16)</f>
        <v>51.3581</v>
      </c>
      <c r="I18" s="6" cm="1">
        <f t="array" ref="I18">_xlfn.XLOOKUP(MAX(ABS(I2:I16)),ABS(I2:I16),I2:I16)</f>
        <v>-3.280100017826388E-2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AA3F-6A96-4065-AF6B-CBE8A72ED25A}">
  <dimension ref="A1:M18"/>
  <sheetViews>
    <sheetView workbookViewId="0">
      <selection activeCell="K19" sqref="K19"/>
    </sheetView>
  </sheetViews>
  <sheetFormatPr baseColWidth="10" defaultRowHeight="15" x14ac:dyDescent="0.25"/>
  <cols>
    <col min="1" max="1" width="20.42578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  <col min="11" max="11" width="16.42578125" bestFit="1" customWidth="1"/>
    <col min="12" max="12" width="24.140625" bestFit="1" customWidth="1"/>
    <col min="13" max="13" width="19.5703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t="s">
        <v>32</v>
      </c>
      <c r="L1" t="s">
        <v>31</v>
      </c>
      <c r="M1" t="s">
        <v>33</v>
      </c>
    </row>
    <row r="2" spans="1:13" x14ac:dyDescent="0.25">
      <c r="A2" s="2" t="s">
        <v>9</v>
      </c>
      <c r="B2">
        <v>0.98070000000000002</v>
      </c>
      <c r="C2">
        <v>0.98499999999999999</v>
      </c>
      <c r="D2">
        <v>0.9830220093302231</v>
      </c>
      <c r="E2">
        <v>49.754300000000001</v>
      </c>
      <c r="F2">
        <v>50.528599999999997</v>
      </c>
      <c r="G2" s="8">
        <v>49.754300000000001</v>
      </c>
      <c r="H2" s="8">
        <v>50.49</v>
      </c>
      <c r="I2">
        <v>-2.8745969447987171E-2</v>
      </c>
      <c r="K2">
        <v>15</v>
      </c>
      <c r="L2">
        <f>COUNTIFS(G2:G16,"&gt;=49,5",H2:H16,"&lt;=50,5")</f>
        <v>11</v>
      </c>
      <c r="M2" s="9">
        <f>L2/K2</f>
        <v>0.73333333333333328</v>
      </c>
    </row>
    <row r="3" spans="1:13" x14ac:dyDescent="0.25">
      <c r="A3" s="2" t="s">
        <v>10</v>
      </c>
      <c r="B3">
        <v>1.0286999999999999</v>
      </c>
      <c r="C3">
        <v>1.03</v>
      </c>
      <c r="D3">
        <v>1.0293289403532151</v>
      </c>
      <c r="E3">
        <v>48.7849</v>
      </c>
      <c r="F3">
        <v>50.825899999999997</v>
      </c>
      <c r="G3">
        <v>48.7849</v>
      </c>
      <c r="H3">
        <v>50.825899999999997</v>
      </c>
      <c r="I3">
        <v>-1.820115249164473E-2</v>
      </c>
      <c r="M3" s="9"/>
    </row>
    <row r="4" spans="1:13" x14ac:dyDescent="0.25">
      <c r="A4" s="2" t="s">
        <v>11</v>
      </c>
      <c r="B4">
        <v>1.026</v>
      </c>
      <c r="C4">
        <v>1.0276000000000001</v>
      </c>
      <c r="D4">
        <v>1.026766527824059</v>
      </c>
      <c r="E4">
        <v>49.602499999999999</v>
      </c>
      <c r="F4">
        <v>50.409100000000002</v>
      </c>
      <c r="G4" s="8">
        <v>49.602499999999999</v>
      </c>
      <c r="H4" s="8">
        <v>50.409100000000002</v>
      </c>
      <c r="I4">
        <v>-2.4972281695988249E-2</v>
      </c>
    </row>
    <row r="5" spans="1:13" x14ac:dyDescent="0.25">
      <c r="A5" s="2" t="s">
        <v>12</v>
      </c>
      <c r="B5">
        <v>0.95209999999999995</v>
      </c>
      <c r="C5">
        <v>0.95330000000000004</v>
      </c>
      <c r="D5">
        <v>0.95257952349216946</v>
      </c>
      <c r="E5">
        <v>49.562100000000001</v>
      </c>
      <c r="F5">
        <v>50.363300000000002</v>
      </c>
      <c r="G5" s="8">
        <v>49.562100000000001</v>
      </c>
      <c r="H5" s="8">
        <v>50.363300000000002</v>
      </c>
      <c r="I5">
        <v>-2.2203760015485331E-2</v>
      </c>
    </row>
    <row r="6" spans="1:13" x14ac:dyDescent="0.25">
      <c r="A6" s="2" t="s">
        <v>13</v>
      </c>
      <c r="B6">
        <v>0.97889999999999999</v>
      </c>
      <c r="C6">
        <v>0.98</v>
      </c>
      <c r="D6">
        <v>0.97920536487837406</v>
      </c>
      <c r="E6">
        <v>48.616799999999998</v>
      </c>
      <c r="F6">
        <v>50.954999999999998</v>
      </c>
      <c r="G6">
        <v>48.616799999999998</v>
      </c>
      <c r="H6">
        <v>50.954999999999998</v>
      </c>
      <c r="I6">
        <v>-2.159423088779254E-2</v>
      </c>
    </row>
    <row r="7" spans="1:13" x14ac:dyDescent="0.25">
      <c r="A7" s="2" t="s">
        <v>14</v>
      </c>
      <c r="B7">
        <v>0.98880000000000001</v>
      </c>
      <c r="C7">
        <v>0.99</v>
      </c>
      <c r="D7">
        <v>0.98920718093968674</v>
      </c>
      <c r="E7">
        <v>49.100299999999997</v>
      </c>
      <c r="F7">
        <v>50.691600000000001</v>
      </c>
      <c r="G7">
        <v>49.100299999999997</v>
      </c>
      <c r="H7">
        <v>50.691600000000001</v>
      </c>
      <c r="I7">
        <v>-2.412989925547598E-2</v>
      </c>
    </row>
    <row r="8" spans="1:13" x14ac:dyDescent="0.25">
      <c r="A8" s="2" t="s">
        <v>15</v>
      </c>
      <c r="B8">
        <v>0.995</v>
      </c>
      <c r="C8">
        <v>0.99870000000000003</v>
      </c>
      <c r="D8">
        <v>0.99710403198933706</v>
      </c>
      <c r="E8">
        <v>49.793999999999997</v>
      </c>
      <c r="F8">
        <v>50.090499999999999</v>
      </c>
      <c r="G8" s="8">
        <v>49.793999999999997</v>
      </c>
      <c r="H8" s="8">
        <v>50.090499999999999</v>
      </c>
      <c r="I8">
        <v>-6.2896472875277228E-3</v>
      </c>
    </row>
    <row r="9" spans="1:13" x14ac:dyDescent="0.25">
      <c r="A9" s="2" t="s">
        <v>16</v>
      </c>
      <c r="B9">
        <v>1.0478000000000001</v>
      </c>
      <c r="C9">
        <v>1.05</v>
      </c>
      <c r="D9">
        <v>1.0491926191269569</v>
      </c>
      <c r="E9">
        <v>49.377200000000002</v>
      </c>
      <c r="F9">
        <v>50.606200000000001</v>
      </c>
      <c r="G9">
        <v>49.377200000000002</v>
      </c>
      <c r="H9">
        <v>50.606200000000001</v>
      </c>
      <c r="I9">
        <v>-1.6854245886855641E-2</v>
      </c>
    </row>
    <row r="10" spans="1:13" x14ac:dyDescent="0.25">
      <c r="A10" s="2" t="s">
        <v>17</v>
      </c>
      <c r="B10">
        <v>1.0035000000000001</v>
      </c>
      <c r="C10">
        <v>1.01</v>
      </c>
      <c r="D10">
        <v>1.007852615794735</v>
      </c>
      <c r="E10">
        <v>49.700200000000002</v>
      </c>
      <c r="F10">
        <v>50.196300000000001</v>
      </c>
      <c r="G10" s="8">
        <v>49.700200000000002</v>
      </c>
      <c r="H10" s="8">
        <v>50.196300000000001</v>
      </c>
      <c r="I10">
        <v>-6.2902874397872486E-3</v>
      </c>
    </row>
    <row r="11" spans="1:13" x14ac:dyDescent="0.25">
      <c r="A11" s="2" t="s">
        <v>18</v>
      </c>
      <c r="B11">
        <v>1.0384</v>
      </c>
      <c r="C11">
        <v>1.04</v>
      </c>
      <c r="D11">
        <v>1.0389437354215261</v>
      </c>
      <c r="E11">
        <v>49.632300000000001</v>
      </c>
      <c r="F11">
        <v>50.232999999999997</v>
      </c>
      <c r="G11" s="8">
        <v>49.632300000000001</v>
      </c>
      <c r="H11" s="8">
        <v>50.232999999999997</v>
      </c>
      <c r="I11">
        <v>-6.5573654211039554E-3</v>
      </c>
    </row>
    <row r="12" spans="1:13" x14ac:dyDescent="0.25">
      <c r="A12" s="2" t="s">
        <v>19</v>
      </c>
      <c r="B12">
        <v>1.0170999999999999</v>
      </c>
      <c r="C12">
        <v>1.02</v>
      </c>
      <c r="D12">
        <v>1.0181910196601129</v>
      </c>
      <c r="E12">
        <v>49.708199999999998</v>
      </c>
      <c r="F12">
        <v>50.331299999999999</v>
      </c>
      <c r="G12" s="8">
        <v>49.708199999999998</v>
      </c>
      <c r="H12" s="8">
        <v>50.331299999999999</v>
      </c>
      <c r="I12">
        <v>-1.189755749397574E-2</v>
      </c>
    </row>
    <row r="13" spans="1:13" x14ac:dyDescent="0.25">
      <c r="A13" s="2" t="s">
        <v>20</v>
      </c>
      <c r="B13">
        <v>1.0322</v>
      </c>
      <c r="C13">
        <v>1.04</v>
      </c>
      <c r="D13">
        <v>1.037717310896368</v>
      </c>
      <c r="E13">
        <v>49.703299999999999</v>
      </c>
      <c r="F13">
        <v>50.398000000000003</v>
      </c>
      <c r="G13" s="8">
        <v>49.703299999999999</v>
      </c>
      <c r="H13" s="8">
        <v>50.398000000000003</v>
      </c>
      <c r="I13">
        <v>-1.607543804855311E-2</v>
      </c>
    </row>
    <row r="14" spans="1:13" x14ac:dyDescent="0.25">
      <c r="A14" s="2" t="s">
        <v>21</v>
      </c>
      <c r="B14">
        <v>1.004</v>
      </c>
      <c r="C14">
        <v>1.01</v>
      </c>
      <c r="D14">
        <v>1.007936054648451</v>
      </c>
      <c r="E14">
        <v>49.694200000000002</v>
      </c>
      <c r="F14">
        <v>50.435099999999998</v>
      </c>
      <c r="G14" s="8">
        <v>49.694200000000002</v>
      </c>
      <c r="H14" s="8">
        <v>50.435099999999998</v>
      </c>
      <c r="I14">
        <v>-1.5074606980024529E-2</v>
      </c>
    </row>
    <row r="15" spans="1:13" x14ac:dyDescent="0.25">
      <c r="A15" s="2" t="s">
        <v>22</v>
      </c>
      <c r="B15">
        <v>1.0218</v>
      </c>
      <c r="C15">
        <v>1.0233000000000001</v>
      </c>
      <c r="D15">
        <v>1.0224110963012329</v>
      </c>
      <c r="E15">
        <v>49.569200000000002</v>
      </c>
      <c r="F15">
        <v>50.4696</v>
      </c>
      <c r="G15" s="8">
        <v>49.569200000000002</v>
      </c>
      <c r="H15" s="8">
        <v>50.4696</v>
      </c>
      <c r="I15">
        <v>-2.727889498538642E-2</v>
      </c>
    </row>
    <row r="16" spans="1:13" x14ac:dyDescent="0.25">
      <c r="A16" s="2" t="s">
        <v>23</v>
      </c>
      <c r="B16">
        <v>1.0474000000000001</v>
      </c>
      <c r="C16">
        <v>1.0481</v>
      </c>
      <c r="D16">
        <v>1.047749816727757</v>
      </c>
      <c r="E16">
        <v>49.842199999999998</v>
      </c>
      <c r="F16">
        <v>50.105800000000002</v>
      </c>
      <c r="G16" s="8">
        <v>49.842199999999998</v>
      </c>
      <c r="H16" s="8">
        <v>50.105800000000002</v>
      </c>
      <c r="I16">
        <v>-6.5433640452250367E-3</v>
      </c>
    </row>
    <row r="18" spans="1:9" x14ac:dyDescent="0.25">
      <c r="A18" s="5" t="s">
        <v>30</v>
      </c>
      <c r="B18" s="6">
        <f>MIN(B2:B16)</f>
        <v>0.95209999999999995</v>
      </c>
      <c r="C18" s="6">
        <f>MAX(C2:C16)</f>
        <v>1.05</v>
      </c>
      <c r="D18" s="6">
        <f t="shared" ref="D18" si="0">AVERAGE(D2:D16)</f>
        <v>1.0124805231589469</v>
      </c>
      <c r="E18" s="6">
        <f>MIN(E2:E16)</f>
        <v>48.616799999999998</v>
      </c>
      <c r="F18" s="6">
        <f>MAX(F2:F16)</f>
        <v>50.954999999999998</v>
      </c>
      <c r="G18" s="6">
        <f>MIN(G2:G16)</f>
        <v>48.616799999999998</v>
      </c>
      <c r="H18" s="6">
        <f>MAX(H2:H16)</f>
        <v>50.954999999999998</v>
      </c>
      <c r="I18" s="6" cm="1">
        <f t="array" ref="I18">_xlfn.XLOOKUP(MAX(ABS(I2:I16)),ABS(I2:I16),I2:I16)</f>
        <v>-2.8745969447987171E-2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8E33-8286-4790-AC8C-162676EA95F9}">
  <dimension ref="C3:J8"/>
  <sheetViews>
    <sheetView showGridLines="0" tabSelected="1" workbookViewId="0">
      <selection activeCell="J3" sqref="J3:J8"/>
    </sheetView>
  </sheetViews>
  <sheetFormatPr baseColWidth="10" defaultRowHeight="15" x14ac:dyDescent="0.25"/>
  <cols>
    <col min="3" max="3" width="16.140625" bestFit="1" customWidth="1"/>
    <col min="4" max="4" width="15.42578125" bestFit="1" customWidth="1"/>
    <col min="5" max="5" width="15.7109375" bestFit="1" customWidth="1"/>
    <col min="6" max="6" width="17" bestFit="1" customWidth="1"/>
    <col min="7" max="7" width="15.85546875" bestFit="1" customWidth="1"/>
    <col min="8" max="8" width="16.85546875" bestFit="1" customWidth="1"/>
    <col min="9" max="9" width="22.28515625" bestFit="1" customWidth="1"/>
    <col min="10" max="10" width="39.7109375" bestFit="1" customWidth="1"/>
  </cols>
  <sheetData>
    <row r="3" spans="3:10" x14ac:dyDescent="0.25">
      <c r="C3" s="4" t="s">
        <v>24</v>
      </c>
      <c r="D3" s="4" t="s">
        <v>1</v>
      </c>
      <c r="E3" s="4" t="s">
        <v>2</v>
      </c>
      <c r="F3" s="4" t="s">
        <v>3</v>
      </c>
      <c r="G3" s="4" t="s">
        <v>6</v>
      </c>
      <c r="H3" s="4" t="s">
        <v>7</v>
      </c>
      <c r="I3" s="4" t="s">
        <v>8</v>
      </c>
      <c r="J3" s="4" t="s">
        <v>34</v>
      </c>
    </row>
    <row r="4" spans="3:10" x14ac:dyDescent="0.25">
      <c r="C4" t="s">
        <v>25</v>
      </c>
      <c r="D4" s="7">
        <v>0.95499999999999996</v>
      </c>
      <c r="E4" s="7">
        <v>1.0505</v>
      </c>
      <c r="F4" s="7">
        <v>1.0138056558924802</v>
      </c>
      <c r="G4" s="7">
        <v>47.846400000000003</v>
      </c>
      <c r="H4" s="7">
        <v>51.410200000000003</v>
      </c>
      <c r="I4" s="7">
        <v>-4.3515399212000122E-2</v>
      </c>
      <c r="J4" s="9" cm="1">
        <f t="array" ref="J4">Tabla7[Porcentaje dentro]</f>
        <v>0.6</v>
      </c>
    </row>
    <row r="5" spans="3:10" x14ac:dyDescent="0.25">
      <c r="C5" t="s">
        <v>26</v>
      </c>
      <c r="D5" s="7">
        <v>0.95479999999999998</v>
      </c>
      <c r="E5" s="7">
        <v>1.0503</v>
      </c>
      <c r="F5" s="7">
        <v>1.0137356692213708</v>
      </c>
      <c r="G5" s="7">
        <v>47.846200000000003</v>
      </c>
      <c r="H5" s="7">
        <v>51.4101</v>
      </c>
      <c r="I5" s="7">
        <v>-4.2645204556120649E-2</v>
      </c>
      <c r="J5" s="9" cm="1">
        <f t="array" ref="J5">Tabla79[Porcentaje dentro]</f>
        <v>0.6</v>
      </c>
    </row>
    <row r="6" spans="3:10" x14ac:dyDescent="0.25">
      <c r="C6" t="s">
        <v>27</v>
      </c>
      <c r="D6" s="7">
        <v>0.95489999999999997</v>
      </c>
      <c r="E6" s="7">
        <v>1.0505</v>
      </c>
      <c r="F6" s="7">
        <v>1.0137165955792513</v>
      </c>
      <c r="G6" s="7">
        <v>47.846600000000002</v>
      </c>
      <c r="H6" s="7">
        <v>51.409300000000002</v>
      </c>
      <c r="I6" s="7">
        <v>-4.001583711836406E-2</v>
      </c>
      <c r="J6" s="9" cm="1">
        <f t="array" ref="J6">Tabla7910[Porcentaje dentro]</f>
        <v>0.6</v>
      </c>
    </row>
    <row r="7" spans="3:10" x14ac:dyDescent="0.25">
      <c r="C7" t="s">
        <v>28</v>
      </c>
      <c r="D7" s="7">
        <v>0.95189999999999997</v>
      </c>
      <c r="E7" s="7">
        <v>1.0505</v>
      </c>
      <c r="F7" s="7">
        <v>1.0124345740308784</v>
      </c>
      <c r="G7" s="7">
        <v>47.914000000000001</v>
      </c>
      <c r="H7" s="7">
        <v>51.3581</v>
      </c>
      <c r="I7" s="7">
        <v>-3.280100017826388E-2</v>
      </c>
      <c r="J7" s="9" cm="1">
        <f t="array" ref="J7">Tabla791011[Porcentaje dentro]</f>
        <v>0.66666666666666663</v>
      </c>
    </row>
    <row r="8" spans="3:10" x14ac:dyDescent="0.25">
      <c r="C8" t="s">
        <v>29</v>
      </c>
      <c r="D8" s="7">
        <v>0.95209999999999995</v>
      </c>
      <c r="E8" s="7">
        <v>1.05</v>
      </c>
      <c r="F8" s="7">
        <v>1.0124805231589469</v>
      </c>
      <c r="G8" s="7">
        <v>48.616799999999998</v>
      </c>
      <c r="H8" s="7">
        <v>50.954999999999998</v>
      </c>
      <c r="I8" s="7">
        <v>-2.8745969447987171E-2</v>
      </c>
      <c r="J8" s="9" cm="1">
        <f t="array" ref="J8">Tabla79101113[Porcentaje dentro]</f>
        <v>0.73333333333333328</v>
      </c>
    </row>
  </sheetData>
  <pageMargins left="0.7" right="0.7" top="0.75" bottom="0.75" header="0.3" footer="0.3"/>
  <ignoredErrors>
    <ignoredError sqref="J5:J8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Promedio por caso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2026-05-20T03:07:46Z</dcterms:created>
  <dcterms:modified xsi:type="dcterms:W3CDTF">2026-06-04T03:24:51Z</dcterms:modified>
</cp:coreProperties>
</file>