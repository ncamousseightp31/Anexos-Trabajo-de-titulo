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amo\Documents\000-Introduccion al trabajo de titulo\datos csv\0-Resultados para el latex\"/>
    </mc:Choice>
  </mc:AlternateContent>
  <xr:revisionPtr revIDLastSave="0" documentId="13_ncr:1_{2A39DCDD-6915-4DCB-863C-6FA66A89AC8D}" xr6:coauthVersionLast="47" xr6:coauthVersionMax="47" xr10:uidLastSave="{00000000-0000-0000-0000-000000000000}"/>
  <bookViews>
    <workbookView xWindow="-108" yWindow="-108" windowWidth="23256" windowHeight="12456" firstSheet="1" activeTab="5" xr2:uid="{F737775A-F729-4B8A-9AD9-B08844471604}"/>
  </bookViews>
  <sheets>
    <sheet name="Caso base" sheetId="1" r:id="rId1"/>
    <sheet name="Reemplazo 25%" sheetId="2" r:id="rId2"/>
    <sheet name="Reemplazo 50%" sheetId="3" r:id="rId3"/>
    <sheet name="Reemplazo 75%" sheetId="4" r:id="rId4"/>
    <sheet name="Reemplazo 100%" sheetId="5" r:id="rId5"/>
    <sheet name="Resumen por cas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" i="2" l="1"/>
  <c r="D24" i="5"/>
  <c r="C24" i="5"/>
  <c r="D24" i="3"/>
  <c r="C24" i="3"/>
  <c r="D24" i="4"/>
  <c r="C24" i="4"/>
  <c r="G24" i="5"/>
  <c r="F24" i="5"/>
  <c r="E24" i="5"/>
  <c r="B24" i="5"/>
  <c r="G24" i="4"/>
  <c r="F24" i="4"/>
  <c r="E24" i="4"/>
  <c r="B24" i="4"/>
  <c r="G24" i="3"/>
  <c r="F24" i="3"/>
  <c r="E24" i="3"/>
  <c r="B24" i="3"/>
  <c r="G24" i="2"/>
  <c r="D24" i="2"/>
  <c r="C24" i="2"/>
  <c r="F24" i="2"/>
  <c r="B24" i="2"/>
  <c r="G24" i="1"/>
  <c r="D24" i="1"/>
  <c r="C24" i="1"/>
  <c r="B24" i="1"/>
  <c r="F24" i="1"/>
  <c r="E24" i="1"/>
</calcChain>
</file>

<file path=xl/sharedStrings.xml><?xml version="1.0" encoding="utf-8"?>
<sst xmlns="http://schemas.openxmlformats.org/spreadsheetml/2006/main" count="478" uniqueCount="73">
  <si>
    <t>Maquina</t>
  </si>
  <si>
    <t>Es Inversor</t>
  </si>
  <si>
    <t>I_max [pu]</t>
  </si>
  <si>
    <t>I_max en t [s]</t>
  </si>
  <si>
    <t>I_mean [pu]</t>
  </si>
  <si>
    <t>I_min [pu]</t>
  </si>
  <si>
    <t>Supera limite nominal</t>
  </si>
  <si>
    <t>Supera limite critico</t>
  </si>
  <si>
    <t>Tiempo sobre limite [s]</t>
  </si>
  <si>
    <t>Laja</t>
  </si>
  <si>
    <t>No</t>
  </si>
  <si>
    <t>no</t>
  </si>
  <si>
    <t>Nueva Aldea 2</t>
  </si>
  <si>
    <t>Horcones</t>
  </si>
  <si>
    <t>CholguÃ¡n</t>
  </si>
  <si>
    <t>Nueva Aldea 1</t>
  </si>
  <si>
    <t>CELCO Arauco</t>
  </si>
  <si>
    <t>PSEG</t>
  </si>
  <si>
    <t>Petropower</t>
  </si>
  <si>
    <t>Aconcagua</t>
  </si>
  <si>
    <t>Nehuenco III 9B</t>
  </si>
  <si>
    <t>Ventanas 1</t>
  </si>
  <si>
    <t>Bocamina</t>
  </si>
  <si>
    <t>Taltal I</t>
  </si>
  <si>
    <t>Ventanas 2</t>
  </si>
  <si>
    <t>Guacolda</t>
  </si>
  <si>
    <t>Nueva Renca</t>
  </si>
  <si>
    <t>San Isidro</t>
  </si>
  <si>
    <t>Nehuenco I</t>
  </si>
  <si>
    <t>Nehuenco II</t>
  </si>
  <si>
    <t>GFM Laja cc</t>
  </si>
  <si>
    <t>Si</t>
  </si>
  <si>
    <t>GFM Nueva aldea 2 cc</t>
  </si>
  <si>
    <t>GFM Horcones cc</t>
  </si>
  <si>
    <t>GFM Cholguan cc</t>
  </si>
  <si>
    <t>GFM Nueva aldea 1 cc</t>
  </si>
  <si>
    <t>GFM Celco Arauco cc</t>
  </si>
  <si>
    <t>GFM PSEG cc</t>
  </si>
  <si>
    <t>GFM Petropower cc</t>
  </si>
  <si>
    <t>GFM Aconcagua cc</t>
  </si>
  <si>
    <t>GFM  Nehuenco III 9B</t>
  </si>
  <si>
    <t>GFM  Ventanas 1</t>
  </si>
  <si>
    <t>GFM  Bocamina</t>
  </si>
  <si>
    <t>GFM  Taltal I</t>
  </si>
  <si>
    <t>GFM  Ventanas 2</t>
  </si>
  <si>
    <t>GFM Nahuen III 9b cc</t>
  </si>
  <si>
    <t>GFM Ventanas 1 cc</t>
  </si>
  <si>
    <t>GFM Bocamina cc</t>
  </si>
  <si>
    <t>GFM Taltal I cc</t>
  </si>
  <si>
    <t>GFM Ventanas 2 cc</t>
  </si>
  <si>
    <t>GFM Guacolda cc</t>
  </si>
  <si>
    <t>GFM Nueva Renca cc</t>
  </si>
  <si>
    <t>GFM San Isidro cc</t>
  </si>
  <si>
    <t>GFM Nehuenco I cc</t>
  </si>
  <si>
    <t>GFM Nehuenco II cc</t>
  </si>
  <si>
    <t>Escenario</t>
  </si>
  <si>
    <t>Cantidad de inversores</t>
  </si>
  <si>
    <t>Imax​ sistema [pu]</t>
  </si>
  <si>
    <t>Equipo asociado</t>
  </si>
  <si>
    <t>t(Imax​) [s]</t>
  </si>
  <si>
    <t>Promedio corriente Imax</t>
  </si>
  <si>
    <t>Sobre límite nominal</t>
  </si>
  <si>
    <t>Sobre límite crítico</t>
  </si>
  <si>
    <t>Caso base</t>
  </si>
  <si>
    <t>Reemplazo 25%</t>
  </si>
  <si>
    <t>Reemplazo 50%</t>
  </si>
  <si>
    <t>Reemplazo 75%</t>
  </si>
  <si>
    <t>Reemplazo 100%</t>
  </si>
  <si>
    <t>I max sistema</t>
  </si>
  <si>
    <t>t asociado imax</t>
  </si>
  <si>
    <t>supera limite nominal</t>
  </si>
  <si>
    <t>supera limite critico</t>
  </si>
  <si>
    <t>Promedio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</si>
</sst>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26">
    <dxf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710DC-A43B-44D8-B77F-1A9E01B8FD0F}" name="Tabla1" displayName="Tabla1" ref="A1:I20" totalsRowShown="0" headerRowDxfId="21" headerRowBorderDxfId="20" tableBorderDxfId="19">
  <autoFilter ref="A1:I20" xr:uid="{960710DC-A43B-44D8-B77F-1A9E01B8FD0F}"/>
  <tableColumns count="9">
    <tableColumn id="1" xr3:uid="{89B4046A-0829-49B4-BD16-AAA0F3DF90B8}" name="Maquina" dataDxfId="18"/>
    <tableColumn id="2" xr3:uid="{E75D4CA6-759A-4DF6-A332-2AFAEC07E4EC}" name="Es Inversor"/>
    <tableColumn id="3" xr3:uid="{49DE05D0-3827-4A5D-B760-3C00C40D0938}" name="I_max [pu]"/>
    <tableColumn id="4" xr3:uid="{89A348A5-BA91-4972-9C51-4FE06C995A66}" name="I_max en t [s]"/>
    <tableColumn id="5" xr3:uid="{F1B5A9B0-C7CD-44CC-B50B-D81CAD6D80C9}" name="I_mean [pu]"/>
    <tableColumn id="6" xr3:uid="{3487659E-7B94-4041-B7A3-634AE99A3B21}" name="I_min [pu]"/>
    <tableColumn id="7" xr3:uid="{4F011544-5925-47B6-B939-B4B50DB5EB82}" name="Supera limite nominal"/>
    <tableColumn id="8" xr3:uid="{EAA09622-FB93-498F-AEAE-7DD2177EC413}" name="Supera limite critico"/>
    <tableColumn id="9" xr3:uid="{1E842FEA-0B91-4E1A-87D3-EE4313E47CAD}" name="Tiempo sobre limite [s]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48CCC4-E9A2-4648-AF91-FE9FC7B2A7C6}" name="Tabla2" displayName="Tabla2" ref="A1:I20" totalsRowShown="0" headerRowDxfId="25" headerRowBorderDxfId="24" tableBorderDxfId="23">
  <autoFilter ref="A1:I20" xr:uid="{ED48CCC4-E9A2-4648-AF91-FE9FC7B2A7C6}"/>
  <tableColumns count="9">
    <tableColumn id="1" xr3:uid="{D6F61DEF-A988-4B1C-B33E-BC2B3F7EABC5}" name="Maquina" dataDxfId="22"/>
    <tableColumn id="2" xr3:uid="{CCF46C7B-6B50-4FCA-8EA6-1FA37FABD28D}" name="Es Inversor"/>
    <tableColumn id="3" xr3:uid="{A7B0C19E-7CE9-4686-A2E3-2FD3833FBB96}" name="I_max [pu]"/>
    <tableColumn id="4" xr3:uid="{9C39638A-54DD-41FB-9B33-78F7A8148B4C}" name="I_max en t [s]"/>
    <tableColumn id="5" xr3:uid="{8E6531EC-1792-42DE-8DB1-54999FFAAAB0}" name="I_mean [pu]"/>
    <tableColumn id="6" xr3:uid="{BBA3FDE5-9F6F-40C6-AFE7-510355BB4001}" name="I_min [pu]"/>
    <tableColumn id="7" xr3:uid="{7971EF41-875D-4919-AC97-A70F11ECA86C}" name="Supera limite nominal"/>
    <tableColumn id="8" xr3:uid="{496F2C22-B007-46A0-A263-21E27FD9C26D}" name="Supera limite critico"/>
    <tableColumn id="9" xr3:uid="{B82A0042-D1B3-490D-A360-E96E4EDD5345}" name="Tiempo sobre limite [s]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ED0847-C57A-4E46-83B2-3761BFC3A29D}" name="Tabla3" displayName="Tabla3" ref="A1:I20" totalsRowShown="0" headerRowDxfId="17" headerRowBorderDxfId="16" tableBorderDxfId="15">
  <autoFilter ref="A1:I20" xr:uid="{03ED0847-C57A-4E46-83B2-3761BFC3A29D}"/>
  <tableColumns count="9">
    <tableColumn id="1" xr3:uid="{F870B7BE-3FB4-40E3-8401-39325A68D361}" name="Maquina" dataDxfId="14"/>
    <tableColumn id="2" xr3:uid="{64408A85-A997-469C-B7EB-125B6DA78185}" name="Es Inversor"/>
    <tableColumn id="3" xr3:uid="{6B40AABC-4204-4FA4-8EE1-989E4EB01ADA}" name="I_max [pu]"/>
    <tableColumn id="4" xr3:uid="{98D25075-3BD8-4D24-8C37-A79EFB18FECC}" name="I_max en t [s]"/>
    <tableColumn id="5" xr3:uid="{5E80F951-8411-4BA4-9933-3055A7934808}" name="I_mean [pu]"/>
    <tableColumn id="6" xr3:uid="{C74E247C-B901-493D-96B7-A2BF2C4D1D4D}" name="I_min [pu]"/>
    <tableColumn id="7" xr3:uid="{6F39463E-63AE-46A4-8544-27670E88F4A6}" name="Supera limite nominal"/>
    <tableColumn id="8" xr3:uid="{B401AB2D-34FB-48BE-863B-148FC9CFFA43}" name="Supera limite critico"/>
    <tableColumn id="9" xr3:uid="{2514806B-64BC-4E3B-B80B-5AAB384128D3}" name="Tiempo sobre limite [s]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A12497-9245-43A8-BFE8-A0DAAE2E0C47}" name="Tabla4" displayName="Tabla4" ref="A1:I20" totalsRowShown="0" headerRowDxfId="13" headerRowBorderDxfId="12" tableBorderDxfId="11">
  <autoFilter ref="A1:I20" xr:uid="{2DA12497-9245-43A8-BFE8-A0DAAE2E0C47}"/>
  <tableColumns count="9">
    <tableColumn id="1" xr3:uid="{BE3C317A-5A30-4C0B-97D2-EF3A0CCBDA04}" name="Maquina" dataDxfId="10"/>
    <tableColumn id="2" xr3:uid="{0E03DECB-2178-4CAD-BD82-E6BBA555E5E3}" name="Es Inversor"/>
    <tableColumn id="3" xr3:uid="{C2013964-A5AE-4E82-BC66-52FD78816619}" name="I_max [pu]"/>
    <tableColumn id="4" xr3:uid="{3D2A520D-C8C9-496F-939A-7B58DC2161C4}" name="I_max en t [s]"/>
    <tableColumn id="5" xr3:uid="{9F489F8F-9DE8-4E43-A699-03F19D6B8C76}" name="I_mean [pu]"/>
    <tableColumn id="6" xr3:uid="{C555D183-9AD7-41FF-9A32-F17F2B802A27}" name="I_min [pu]"/>
    <tableColumn id="7" xr3:uid="{7C703303-F108-4661-A4F7-26B107B28EE8}" name="Supera limite nominal"/>
    <tableColumn id="8" xr3:uid="{F586BA46-75B3-4C6D-8CB7-D45A66682DF5}" name="Supera limite critico"/>
    <tableColumn id="9" xr3:uid="{12608022-8CC4-4B8B-9895-9178D152BB26}" name="Tiempo sobre limite [s]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828DB3-A7FC-465A-9CB2-ED0B7C5BF254}" name="Tabla5" displayName="Tabla5" ref="A1:I20" totalsRowShown="0" headerRowDxfId="9" headerRowBorderDxfId="8" tableBorderDxfId="7">
  <autoFilter ref="A1:I20" xr:uid="{4C828DB3-A7FC-465A-9CB2-ED0B7C5BF254}"/>
  <tableColumns count="9">
    <tableColumn id="1" xr3:uid="{6187F70C-5916-42E8-9A38-E83F03A86A0D}" name="Maquina" dataDxfId="6"/>
    <tableColumn id="2" xr3:uid="{1A38C96F-480A-4FE4-9186-EF908A757F21}" name="Es Inversor"/>
    <tableColumn id="3" xr3:uid="{CDA092C3-6768-4864-A2EB-37FC891DCEAB}" name="I_max [pu]"/>
    <tableColumn id="4" xr3:uid="{14A2440E-CCDC-443A-9AE7-21511D15A782}" name="I_max en t [s]"/>
    <tableColumn id="5" xr3:uid="{6F370ED7-133D-43C2-AA32-6B0272835BC7}" name="I_mean [pu]"/>
    <tableColumn id="6" xr3:uid="{40AA289F-8F9D-40D2-8D42-A6CA8C6952B5}" name="I_min [pu]"/>
    <tableColumn id="7" xr3:uid="{90033AC6-0A40-4749-B266-E2A2CA3FCB92}" name="Supera limite nominal"/>
    <tableColumn id="8" xr3:uid="{CCF6E852-486C-40BC-87F5-CA7E0B8C3515}" name="Supera limite critico"/>
    <tableColumn id="9" xr3:uid="{179915F0-107B-4B3E-9F6E-399CC9DC124B}" name="Tiempo sobre limite [s]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21D837-8BC9-4763-AB01-9054D8C6F6CB}" name="Tabla6" displayName="Tabla6" ref="D3:K8" totalsRowShown="0" headerRowCellStyle="Normal" dataCellStyle="Normal">
  <autoFilter ref="D3:K8" xr:uid="{F421D837-8BC9-4763-AB01-9054D8C6F6CB}"/>
  <tableColumns count="8">
    <tableColumn id="1" xr3:uid="{52D36D73-C535-4B53-8374-5DB902247807}" name="Escenario" dataCellStyle="Normal"/>
    <tableColumn id="2" xr3:uid="{A2FE12E2-0AB4-47CF-B8B7-C1A7481DFB53}" name="Cantidad de inversores" dataDxfId="5" dataCellStyle="Normal"/>
    <tableColumn id="3" xr3:uid="{32CFEA98-B969-46ED-9EEF-85A685D4776D}" name="Imax​ sistema [pu]" dataDxfId="4" dataCellStyle="Normal"/>
    <tableColumn id="4" xr3:uid="{68F7271E-AA6B-47DE-803E-370834F833E9}" name="Equipo asociado" dataDxfId="3" dataCellStyle="Normal"/>
    <tableColumn id="5" xr3:uid="{E55F3A6E-A36F-4446-BCD1-B72EDE3D41E4}" name="t(Imax​) [s]" dataDxfId="2" dataCellStyle="Normal"/>
    <tableColumn id="8" xr3:uid="{9DCF39E6-0D2E-4988-B387-FE3F15F3334B}" name="Promedio corriente Imax" dataDxfId="1"/>
    <tableColumn id="6" xr3:uid="{B2C2CAB9-C1E3-4C5A-8779-2885351F3BEF}" name="Sobre límite nominal" dataDxfId="0" dataCellStyle="Normal"/>
    <tableColumn id="7" xr3:uid="{B30C55BF-BE5E-4098-9849-CD5E683BA94D}" name="Sobre límite crítico" dataCellStyle="Normal"/>
  </tableColumns>
  <tableStyleInfo name="TableStyleMedium14" showFirstColumn="1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2AB9-FA07-4084-96FB-068811722B1E}">
  <dimension ref="A1:I24"/>
  <sheetViews>
    <sheetView workbookViewId="0">
      <selection activeCell="A23" sqref="A23:G24"/>
    </sheetView>
  </sheetViews>
  <sheetFormatPr baseColWidth="10" defaultRowHeight="14.4" x14ac:dyDescent="0.3"/>
  <cols>
    <col min="1" max="1" width="14.88671875" bestFit="1" customWidth="1"/>
    <col min="2" max="2" width="15.109375" bestFit="1" customWidth="1"/>
    <col min="3" max="3" width="15" bestFit="1" customWidth="1"/>
    <col min="4" max="4" width="17.44140625" bestFit="1" customWidth="1"/>
    <col min="5" max="5" width="16.33203125" bestFit="1" customWidth="1"/>
    <col min="6" max="6" width="14.6640625" bestFit="1" customWidth="1"/>
    <col min="7" max="7" width="25.33203125" bestFit="1" customWidth="1"/>
    <col min="8" max="8" width="23.44140625" bestFit="1" customWidth="1"/>
    <col min="9" max="9" width="26.44140625" bestFit="1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9</v>
      </c>
      <c r="B2" t="s">
        <v>10</v>
      </c>
      <c r="C2">
        <v>0.75129999999999997</v>
      </c>
      <c r="D2">
        <v>1.4585999999999999</v>
      </c>
      <c r="E2">
        <v>-4.7724049307505689E-4</v>
      </c>
      <c r="F2">
        <v>-0.75929999999999997</v>
      </c>
      <c r="G2" t="s">
        <v>11</v>
      </c>
      <c r="H2" t="s">
        <v>11</v>
      </c>
      <c r="I2">
        <v>0</v>
      </c>
    </row>
    <row r="3" spans="1:9" x14ac:dyDescent="0.3">
      <c r="A3" s="1" t="s">
        <v>12</v>
      </c>
      <c r="B3" t="s">
        <v>10</v>
      </c>
      <c r="C3">
        <v>0.6542</v>
      </c>
      <c r="D3">
        <v>1.4585999999999999</v>
      </c>
      <c r="E3">
        <v>-3.5393365380039117E-4</v>
      </c>
      <c r="F3">
        <v>-0.65580000000000005</v>
      </c>
      <c r="G3" t="s">
        <v>11</v>
      </c>
      <c r="H3" t="s">
        <v>11</v>
      </c>
      <c r="I3">
        <v>0</v>
      </c>
    </row>
    <row r="4" spans="1:9" x14ac:dyDescent="0.3">
      <c r="A4" s="1" t="s">
        <v>13</v>
      </c>
      <c r="B4" t="s">
        <v>10</v>
      </c>
      <c r="C4">
        <v>0.35880000000000001</v>
      </c>
      <c r="D4">
        <v>1.1008</v>
      </c>
      <c r="E4">
        <v>4.0941887582694731E-4</v>
      </c>
      <c r="F4">
        <v>-0.37430000000000002</v>
      </c>
      <c r="G4" t="s">
        <v>11</v>
      </c>
      <c r="H4" t="s">
        <v>11</v>
      </c>
      <c r="I4">
        <v>0</v>
      </c>
    </row>
    <row r="5" spans="1:9" x14ac:dyDescent="0.3">
      <c r="A5" s="1" t="s">
        <v>14</v>
      </c>
      <c r="B5" t="s">
        <v>10</v>
      </c>
      <c r="C5">
        <v>0.751</v>
      </c>
      <c r="D5">
        <v>1.1585000000000001</v>
      </c>
      <c r="E5">
        <v>-4.7877302365427742E-4</v>
      </c>
      <c r="F5">
        <v>-0.7621</v>
      </c>
      <c r="G5" t="s">
        <v>11</v>
      </c>
      <c r="H5" t="s">
        <v>11</v>
      </c>
      <c r="I5">
        <v>0</v>
      </c>
    </row>
    <row r="6" spans="1:9" x14ac:dyDescent="0.3">
      <c r="A6" s="1" t="s">
        <v>15</v>
      </c>
      <c r="B6" t="s">
        <v>10</v>
      </c>
      <c r="C6">
        <v>0.7732</v>
      </c>
      <c r="D6">
        <v>1.0996999999999999</v>
      </c>
      <c r="E6">
        <v>-5.5058302793774673E-4</v>
      </c>
      <c r="F6">
        <v>-0.77370000000000005</v>
      </c>
      <c r="G6" t="s">
        <v>11</v>
      </c>
      <c r="H6" t="s">
        <v>11</v>
      </c>
      <c r="I6">
        <v>0</v>
      </c>
    </row>
    <row r="7" spans="1:9" x14ac:dyDescent="0.3">
      <c r="A7" s="1" t="s">
        <v>16</v>
      </c>
      <c r="B7" t="s">
        <v>10</v>
      </c>
      <c r="C7">
        <v>0.80369999999999997</v>
      </c>
      <c r="D7">
        <v>1.0408999999999999</v>
      </c>
      <c r="E7">
        <v>1.8514111655800161E-6</v>
      </c>
      <c r="F7">
        <v>-0.82389999999999997</v>
      </c>
      <c r="G7" t="s">
        <v>11</v>
      </c>
      <c r="H7" t="s">
        <v>11</v>
      </c>
      <c r="I7">
        <v>0</v>
      </c>
    </row>
    <row r="8" spans="1:9" x14ac:dyDescent="0.3">
      <c r="A8" s="1" t="s">
        <v>17</v>
      </c>
      <c r="B8" t="s">
        <v>10</v>
      </c>
      <c r="C8">
        <v>0.47510000000000002</v>
      </c>
      <c r="D8">
        <v>1.0414000000000001</v>
      </c>
      <c r="E8">
        <v>1.9681119413640619E-4</v>
      </c>
      <c r="F8">
        <v>-0.49180000000000001</v>
      </c>
      <c r="G8" t="s">
        <v>11</v>
      </c>
      <c r="H8" t="s">
        <v>11</v>
      </c>
      <c r="I8">
        <v>0</v>
      </c>
    </row>
    <row r="9" spans="1:9" x14ac:dyDescent="0.3">
      <c r="A9" s="1" t="s">
        <v>18</v>
      </c>
      <c r="B9" t="s">
        <v>10</v>
      </c>
      <c r="C9">
        <v>0.83650000000000002</v>
      </c>
      <c r="D9">
        <v>1.3989</v>
      </c>
      <c r="E9">
        <v>3.8992432535338539E-4</v>
      </c>
      <c r="F9">
        <v>-0.8397</v>
      </c>
      <c r="G9" t="s">
        <v>11</v>
      </c>
      <c r="H9" t="s">
        <v>11</v>
      </c>
      <c r="I9">
        <v>0</v>
      </c>
    </row>
    <row r="10" spans="1:9" x14ac:dyDescent="0.3">
      <c r="A10" s="1" t="s">
        <v>19</v>
      </c>
      <c r="B10" t="s">
        <v>10</v>
      </c>
      <c r="C10">
        <v>0.30509999999999998</v>
      </c>
      <c r="D10">
        <v>0.17979999999999999</v>
      </c>
      <c r="E10">
        <v>5.7550330779115616E-4</v>
      </c>
      <c r="F10">
        <v>-0.30449999999999999</v>
      </c>
      <c r="G10" t="s">
        <v>11</v>
      </c>
      <c r="H10" t="s">
        <v>11</v>
      </c>
      <c r="I10">
        <v>0</v>
      </c>
    </row>
    <row r="11" spans="1:9" x14ac:dyDescent="0.3">
      <c r="A11" s="1" t="s">
        <v>20</v>
      </c>
      <c r="B11" t="s">
        <v>10</v>
      </c>
      <c r="C11">
        <v>0.8115</v>
      </c>
      <c r="D11">
        <v>1.0391999999999999</v>
      </c>
      <c r="E11">
        <v>3.0874303936033568E-4</v>
      </c>
      <c r="F11">
        <v>-0.81489999999999996</v>
      </c>
      <c r="G11" t="s">
        <v>11</v>
      </c>
      <c r="H11" t="s">
        <v>11</v>
      </c>
      <c r="I11">
        <v>0</v>
      </c>
    </row>
    <row r="12" spans="1:9" x14ac:dyDescent="0.3">
      <c r="A12" s="1" t="s">
        <v>21</v>
      </c>
      <c r="B12" t="s">
        <v>10</v>
      </c>
      <c r="C12">
        <v>0.54339999999999999</v>
      </c>
      <c r="D12">
        <v>1.0426</v>
      </c>
      <c r="E12">
        <v>1.7386131074199291E-4</v>
      </c>
      <c r="F12">
        <v>-0.54349999999999998</v>
      </c>
      <c r="G12" t="s">
        <v>11</v>
      </c>
      <c r="H12" t="s">
        <v>11</v>
      </c>
      <c r="I12">
        <v>0</v>
      </c>
    </row>
    <row r="13" spans="1:9" x14ac:dyDescent="0.3">
      <c r="A13" s="1" t="s">
        <v>22</v>
      </c>
      <c r="B13" t="s">
        <v>10</v>
      </c>
      <c r="C13">
        <v>0.84430000000000005</v>
      </c>
      <c r="D13">
        <v>1.4796</v>
      </c>
      <c r="E13">
        <v>2.9719194707534028E-4</v>
      </c>
      <c r="F13">
        <v>-0.86109999999999998</v>
      </c>
      <c r="G13" t="s">
        <v>11</v>
      </c>
      <c r="H13" t="s">
        <v>11</v>
      </c>
      <c r="I13">
        <v>0</v>
      </c>
    </row>
    <row r="14" spans="1:9" x14ac:dyDescent="0.3">
      <c r="A14" s="1" t="s">
        <v>23</v>
      </c>
      <c r="B14" t="s">
        <v>10</v>
      </c>
      <c r="C14">
        <v>0.75870000000000004</v>
      </c>
      <c r="D14">
        <v>1.0204</v>
      </c>
      <c r="E14">
        <v>1.9856741706725221E-4</v>
      </c>
      <c r="F14">
        <v>-0.75849999999999995</v>
      </c>
      <c r="G14" t="s">
        <v>11</v>
      </c>
      <c r="H14" t="s">
        <v>11</v>
      </c>
      <c r="I14">
        <v>0</v>
      </c>
    </row>
    <row r="15" spans="1:9" x14ac:dyDescent="0.3">
      <c r="A15" s="1" t="s">
        <v>24</v>
      </c>
      <c r="B15" t="s">
        <v>10</v>
      </c>
      <c r="C15">
        <v>0.74199999999999999</v>
      </c>
      <c r="D15">
        <v>0.16089999999999999</v>
      </c>
      <c r="E15">
        <v>3.0091856646518287E-4</v>
      </c>
      <c r="F15">
        <v>-0.74380000000000002</v>
      </c>
      <c r="G15" t="s">
        <v>11</v>
      </c>
      <c r="H15" t="s">
        <v>11</v>
      </c>
      <c r="I15">
        <v>0</v>
      </c>
    </row>
    <row r="16" spans="1:9" x14ac:dyDescent="0.3">
      <c r="A16" s="1" t="s">
        <v>25</v>
      </c>
      <c r="B16" t="s">
        <v>10</v>
      </c>
      <c r="C16">
        <v>0.80600000000000005</v>
      </c>
      <c r="D16">
        <v>0.54110000000000003</v>
      </c>
      <c r="E16">
        <v>3.3485317214792019E-4</v>
      </c>
      <c r="F16">
        <v>-0.80620000000000003</v>
      </c>
      <c r="G16" t="s">
        <v>11</v>
      </c>
      <c r="H16" t="s">
        <v>11</v>
      </c>
      <c r="I16">
        <v>0</v>
      </c>
    </row>
    <row r="17" spans="1:9" x14ac:dyDescent="0.3">
      <c r="A17" s="1" t="s">
        <v>26</v>
      </c>
      <c r="B17" t="s">
        <v>10</v>
      </c>
      <c r="C17">
        <v>0.9607</v>
      </c>
      <c r="D17">
        <v>1.0416000000000001</v>
      </c>
      <c r="E17">
        <v>2.749416972062237E-4</v>
      </c>
      <c r="F17">
        <v>-0.97070000000000001</v>
      </c>
      <c r="G17" t="s">
        <v>11</v>
      </c>
      <c r="H17" t="s">
        <v>11</v>
      </c>
      <c r="I17">
        <v>0</v>
      </c>
    </row>
    <row r="18" spans="1:9" x14ac:dyDescent="0.3">
      <c r="A18" s="1" t="s">
        <v>27</v>
      </c>
      <c r="B18" t="s">
        <v>10</v>
      </c>
      <c r="C18">
        <v>0.3392</v>
      </c>
      <c r="D18">
        <v>6.2300000000000001E-2</v>
      </c>
      <c r="E18">
        <v>1.5605159202322519E-4</v>
      </c>
      <c r="F18">
        <v>-0.34</v>
      </c>
      <c r="G18" t="s">
        <v>11</v>
      </c>
      <c r="H18" t="s">
        <v>11</v>
      </c>
      <c r="I18">
        <v>0</v>
      </c>
    </row>
    <row r="19" spans="1:9" x14ac:dyDescent="0.3">
      <c r="A19" s="1" t="s">
        <v>28</v>
      </c>
      <c r="B19" t="s">
        <v>10</v>
      </c>
      <c r="C19">
        <v>0.66759999999999997</v>
      </c>
      <c r="D19">
        <v>1.0405</v>
      </c>
      <c r="E19">
        <v>-8.5931178906286434E-5</v>
      </c>
      <c r="F19">
        <v>-0.67049999999999998</v>
      </c>
      <c r="G19" t="s">
        <v>11</v>
      </c>
      <c r="H19" t="s">
        <v>11</v>
      </c>
      <c r="I19">
        <v>0</v>
      </c>
    </row>
    <row r="20" spans="1:9" x14ac:dyDescent="0.3">
      <c r="A20" s="1" t="s">
        <v>29</v>
      </c>
      <c r="B20" t="s">
        <v>10</v>
      </c>
      <c r="C20">
        <v>0.86399999999999999</v>
      </c>
      <c r="D20">
        <v>1.0394000000000001</v>
      </c>
      <c r="E20">
        <v>2.308981009947127E-4</v>
      </c>
      <c r="F20">
        <v>-0.86750000000000005</v>
      </c>
      <c r="G20" t="s">
        <v>11</v>
      </c>
      <c r="H20" t="s">
        <v>11</v>
      </c>
      <c r="I20">
        <v>0</v>
      </c>
    </row>
    <row r="23" spans="1:9" x14ac:dyDescent="0.3">
      <c r="B23" t="s">
        <v>68</v>
      </c>
      <c r="C23" t="s">
        <v>58</v>
      </c>
      <c r="D23" t="s">
        <v>69</v>
      </c>
      <c r="E23" t="s">
        <v>70</v>
      </c>
      <c r="F23" t="s">
        <v>71</v>
      </c>
      <c r="G23" t="s">
        <v>60</v>
      </c>
    </row>
    <row r="24" spans="1:9" x14ac:dyDescent="0.3">
      <c r="A24" s="6" t="s">
        <v>72</v>
      </c>
      <c r="B24" s="6">
        <f>MAX(C2:C20)</f>
        <v>0.9607</v>
      </c>
      <c r="C24" s="6" t="str">
        <f>INDEX(Tabla1[Maquina],MATCH(B24,Tabla1[I_max '[pu']],0))</f>
        <v>Nueva Renca</v>
      </c>
      <c r="D24" s="6">
        <f>INDEX(Tabla1[I_max en t '[s']],MATCH(B24,Tabla1[I_max '[pu']],0))</f>
        <v>1.0416000000000001</v>
      </c>
      <c r="E24" s="6">
        <f>COUNTIF(G2:G20,"Si")</f>
        <v>0</v>
      </c>
      <c r="F24" s="6">
        <f>COUNTIF(H2:H20,"Si")</f>
        <v>0</v>
      </c>
      <c r="G24" s="7">
        <f>AVERAGE(Tabla1[I_max '[pu']])</f>
        <v>0.68664736842105267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EA74-85A7-49FA-85DA-76D90DDCCA50}">
  <dimension ref="A1:I24"/>
  <sheetViews>
    <sheetView workbookViewId="0">
      <selection activeCell="A23" sqref="A23"/>
    </sheetView>
  </sheetViews>
  <sheetFormatPr baseColWidth="10" defaultRowHeight="14.4" x14ac:dyDescent="0.3"/>
  <cols>
    <col min="1" max="1" width="20.44140625" bestFit="1" customWidth="1"/>
    <col min="2" max="2" width="15.109375" bestFit="1" customWidth="1"/>
    <col min="3" max="3" width="15" bestFit="1" customWidth="1"/>
    <col min="4" max="4" width="17.44140625" bestFit="1" customWidth="1"/>
    <col min="5" max="5" width="16.33203125" bestFit="1" customWidth="1"/>
    <col min="6" max="6" width="14.6640625" bestFit="1" customWidth="1"/>
    <col min="7" max="7" width="25.33203125" bestFit="1" customWidth="1"/>
    <col min="8" max="8" width="23.44140625" bestFit="1" customWidth="1"/>
    <col min="9" max="9" width="26.44140625" bestFit="1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30</v>
      </c>
      <c r="B2" t="s">
        <v>31</v>
      </c>
      <c r="C2">
        <v>0.75580000000000003</v>
      </c>
      <c r="D2">
        <v>0.99880000000000002</v>
      </c>
      <c r="E2">
        <v>9.3108699790592746E-5</v>
      </c>
      <c r="F2">
        <v>-0.76170000000000004</v>
      </c>
      <c r="G2" t="s">
        <v>11</v>
      </c>
      <c r="H2" t="s">
        <v>11</v>
      </c>
      <c r="I2">
        <v>0</v>
      </c>
    </row>
    <row r="3" spans="1:9" x14ac:dyDescent="0.3">
      <c r="A3" s="1" t="s">
        <v>32</v>
      </c>
      <c r="B3" t="s">
        <v>31</v>
      </c>
      <c r="C3">
        <v>0.65659999999999996</v>
      </c>
      <c r="D3">
        <v>0.99880000000000002</v>
      </c>
      <c r="E3">
        <v>7.0878545592995324E-5</v>
      </c>
      <c r="F3">
        <v>-0.66210000000000002</v>
      </c>
      <c r="G3" t="s">
        <v>11</v>
      </c>
      <c r="H3" t="s">
        <v>11</v>
      </c>
      <c r="I3">
        <v>0</v>
      </c>
    </row>
    <row r="4" spans="1:9" x14ac:dyDescent="0.3">
      <c r="A4" s="1" t="s">
        <v>33</v>
      </c>
      <c r="B4" t="s">
        <v>31</v>
      </c>
      <c r="C4">
        <v>0.38879999999999998</v>
      </c>
      <c r="D4">
        <v>1.0408999999999999</v>
      </c>
      <c r="E4">
        <v>1.9146202170188481E-5</v>
      </c>
      <c r="F4">
        <v>-0.40050000000000002</v>
      </c>
      <c r="G4" t="s">
        <v>11</v>
      </c>
      <c r="H4" t="s">
        <v>11</v>
      </c>
      <c r="I4">
        <v>0</v>
      </c>
    </row>
    <row r="5" spans="1:9" x14ac:dyDescent="0.3">
      <c r="A5" s="1" t="s">
        <v>34</v>
      </c>
      <c r="B5" t="s">
        <v>31</v>
      </c>
      <c r="C5">
        <v>0.75939999999999996</v>
      </c>
      <c r="D5">
        <v>1.0401</v>
      </c>
      <c r="E5">
        <v>8.3019227108317814E-5</v>
      </c>
      <c r="F5">
        <v>-0.77129999999999999</v>
      </c>
      <c r="G5" t="s">
        <v>11</v>
      </c>
      <c r="H5" t="s">
        <v>11</v>
      </c>
      <c r="I5">
        <v>0</v>
      </c>
    </row>
    <row r="6" spans="1:9" x14ac:dyDescent="0.3">
      <c r="A6" s="1" t="s">
        <v>35</v>
      </c>
      <c r="B6" t="s">
        <v>31</v>
      </c>
      <c r="C6">
        <v>0.79730000000000001</v>
      </c>
      <c r="D6">
        <v>1.0404</v>
      </c>
      <c r="E6">
        <v>1.308871121264041E-4</v>
      </c>
      <c r="F6">
        <v>-0.81069999999999998</v>
      </c>
      <c r="G6" t="s">
        <v>11</v>
      </c>
      <c r="H6" t="s">
        <v>11</v>
      </c>
      <c r="I6">
        <v>0</v>
      </c>
    </row>
    <row r="7" spans="1:9" x14ac:dyDescent="0.3">
      <c r="A7" s="1" t="s">
        <v>36</v>
      </c>
      <c r="B7" t="s">
        <v>31</v>
      </c>
      <c r="C7">
        <v>0.84099999999999997</v>
      </c>
      <c r="D7">
        <v>1.0609999999999999</v>
      </c>
      <c r="E7">
        <v>2.0315533980582709E-4</v>
      </c>
      <c r="F7">
        <v>-0.85029999999999994</v>
      </c>
      <c r="G7" t="s">
        <v>11</v>
      </c>
      <c r="H7" t="s">
        <v>11</v>
      </c>
      <c r="I7">
        <v>0</v>
      </c>
    </row>
    <row r="8" spans="1:9" x14ac:dyDescent="0.3">
      <c r="A8" s="1" t="s">
        <v>17</v>
      </c>
      <c r="B8" t="s">
        <v>10</v>
      </c>
      <c r="C8">
        <v>0.47020000000000001</v>
      </c>
      <c r="D8">
        <v>1.0612999999999999</v>
      </c>
      <c r="E8">
        <v>-1.2590424519322169E-4</v>
      </c>
      <c r="F8">
        <v>-0.48859999999999998</v>
      </c>
      <c r="G8" t="s">
        <v>11</v>
      </c>
      <c r="H8" t="s">
        <v>11</v>
      </c>
      <c r="I8">
        <v>0</v>
      </c>
    </row>
    <row r="9" spans="1:9" x14ac:dyDescent="0.3">
      <c r="A9" s="1" t="s">
        <v>18</v>
      </c>
      <c r="B9" t="s">
        <v>10</v>
      </c>
      <c r="C9">
        <v>0.83440000000000003</v>
      </c>
      <c r="D9">
        <v>9.9099999999999994E-2</v>
      </c>
      <c r="E9">
        <v>4.0049971444888359E-4</v>
      </c>
      <c r="F9">
        <v>-0.83860000000000001</v>
      </c>
      <c r="G9" t="s">
        <v>11</v>
      </c>
      <c r="H9" t="s">
        <v>11</v>
      </c>
      <c r="I9">
        <v>0</v>
      </c>
    </row>
    <row r="10" spans="1:9" x14ac:dyDescent="0.3">
      <c r="A10" s="1" t="s">
        <v>19</v>
      </c>
      <c r="B10" t="s">
        <v>10</v>
      </c>
      <c r="C10">
        <v>0.30659999999999998</v>
      </c>
      <c r="D10">
        <v>1.9993000000000001</v>
      </c>
      <c r="E10">
        <v>5.0550161812297685E-4</v>
      </c>
      <c r="F10">
        <v>-0.3054</v>
      </c>
      <c r="G10" t="s">
        <v>11</v>
      </c>
      <c r="H10" t="s">
        <v>11</v>
      </c>
      <c r="I10">
        <v>0</v>
      </c>
    </row>
    <row r="11" spans="1:9" x14ac:dyDescent="0.3">
      <c r="A11" s="1" t="s">
        <v>20</v>
      </c>
      <c r="B11" t="s">
        <v>10</v>
      </c>
      <c r="C11">
        <v>0.81240000000000001</v>
      </c>
      <c r="D11">
        <v>1.9987999999999999</v>
      </c>
      <c r="E11">
        <v>3.3391871311631171E-4</v>
      </c>
      <c r="F11">
        <v>-0.81459999999999999</v>
      </c>
      <c r="G11" t="s">
        <v>11</v>
      </c>
      <c r="H11" t="s">
        <v>11</v>
      </c>
      <c r="I11">
        <v>0</v>
      </c>
    </row>
    <row r="12" spans="1:9" x14ac:dyDescent="0.3">
      <c r="A12" s="1" t="s">
        <v>21</v>
      </c>
      <c r="B12" t="s">
        <v>10</v>
      </c>
      <c r="C12">
        <v>0.54290000000000005</v>
      </c>
      <c r="D12">
        <v>1.0426</v>
      </c>
      <c r="E12">
        <v>-6.9531696173610266E-6</v>
      </c>
      <c r="F12">
        <v>-0.54339999999999999</v>
      </c>
      <c r="G12" t="s">
        <v>11</v>
      </c>
      <c r="H12" t="s">
        <v>11</v>
      </c>
      <c r="I12">
        <v>0</v>
      </c>
    </row>
    <row r="13" spans="1:9" x14ac:dyDescent="0.3">
      <c r="A13" s="1" t="s">
        <v>22</v>
      </c>
      <c r="B13" t="s">
        <v>10</v>
      </c>
      <c r="C13">
        <v>0.84370000000000001</v>
      </c>
      <c r="D13">
        <v>0.1197</v>
      </c>
      <c r="E13">
        <v>2.7562821245002571E-4</v>
      </c>
      <c r="F13">
        <v>-0.85829999999999995</v>
      </c>
      <c r="G13" t="s">
        <v>11</v>
      </c>
      <c r="H13" t="s">
        <v>11</v>
      </c>
      <c r="I13">
        <v>0</v>
      </c>
    </row>
    <row r="14" spans="1:9" x14ac:dyDescent="0.3">
      <c r="A14" s="1" t="s">
        <v>23</v>
      </c>
      <c r="B14" t="s">
        <v>10</v>
      </c>
      <c r="C14">
        <v>0.75849999999999995</v>
      </c>
      <c r="D14">
        <v>1.0204</v>
      </c>
      <c r="E14">
        <v>1.817532838378091E-4</v>
      </c>
      <c r="F14">
        <v>-0.75849999999999995</v>
      </c>
      <c r="G14" t="s">
        <v>11</v>
      </c>
      <c r="H14" t="s">
        <v>11</v>
      </c>
      <c r="I14">
        <v>0</v>
      </c>
    </row>
    <row r="15" spans="1:9" x14ac:dyDescent="0.3">
      <c r="A15" s="1" t="s">
        <v>24</v>
      </c>
      <c r="B15" t="s">
        <v>10</v>
      </c>
      <c r="C15">
        <v>0.74260000000000004</v>
      </c>
      <c r="D15">
        <v>1.9804999999999999</v>
      </c>
      <c r="E15">
        <v>3.6957452884066262E-4</v>
      </c>
      <c r="F15">
        <v>-0.74350000000000005</v>
      </c>
      <c r="G15" t="s">
        <v>11</v>
      </c>
      <c r="H15" t="s">
        <v>11</v>
      </c>
      <c r="I15">
        <v>0</v>
      </c>
    </row>
    <row r="16" spans="1:9" x14ac:dyDescent="0.3">
      <c r="A16" s="1" t="s">
        <v>25</v>
      </c>
      <c r="B16" t="s">
        <v>10</v>
      </c>
      <c r="C16">
        <v>0.80589999999999995</v>
      </c>
      <c r="D16">
        <v>0.46110000000000001</v>
      </c>
      <c r="E16">
        <v>3.2307252998286661E-4</v>
      </c>
      <c r="F16">
        <v>-0.80600000000000005</v>
      </c>
      <c r="G16" t="s">
        <v>11</v>
      </c>
      <c r="H16" t="s">
        <v>11</v>
      </c>
      <c r="I16">
        <v>0</v>
      </c>
    </row>
    <row r="17" spans="1:9" x14ac:dyDescent="0.3">
      <c r="A17" s="1" t="s">
        <v>26</v>
      </c>
      <c r="B17" t="s">
        <v>10</v>
      </c>
      <c r="C17">
        <v>0.96030000000000004</v>
      </c>
      <c r="D17">
        <v>1.0416000000000001</v>
      </c>
      <c r="E17">
        <v>2.5758614125261678E-4</v>
      </c>
      <c r="F17">
        <v>-0.97</v>
      </c>
      <c r="G17" t="s">
        <v>11</v>
      </c>
      <c r="H17" t="s">
        <v>11</v>
      </c>
      <c r="I17">
        <v>0</v>
      </c>
    </row>
    <row r="18" spans="1:9" x14ac:dyDescent="0.3">
      <c r="A18" s="1" t="s">
        <v>27</v>
      </c>
      <c r="B18" t="s">
        <v>10</v>
      </c>
      <c r="C18">
        <v>0.3392</v>
      </c>
      <c r="D18">
        <v>8.2299999999999998E-2</v>
      </c>
      <c r="E18">
        <v>1.4901960784313701E-4</v>
      </c>
      <c r="F18">
        <v>-0.33979999999999999</v>
      </c>
      <c r="G18" t="s">
        <v>11</v>
      </c>
      <c r="H18" t="s">
        <v>11</v>
      </c>
      <c r="I18">
        <v>0</v>
      </c>
    </row>
    <row r="19" spans="1:9" x14ac:dyDescent="0.3">
      <c r="A19" s="1" t="s">
        <v>28</v>
      </c>
      <c r="B19" t="s">
        <v>10</v>
      </c>
      <c r="C19">
        <v>0.66710000000000003</v>
      </c>
      <c r="D19">
        <v>1.0405</v>
      </c>
      <c r="E19">
        <v>-1.975395012373904E-4</v>
      </c>
      <c r="F19">
        <v>-0.67010000000000003</v>
      </c>
      <c r="G19" t="s">
        <v>11</v>
      </c>
      <c r="H19" t="s">
        <v>11</v>
      </c>
      <c r="I19">
        <v>0</v>
      </c>
    </row>
    <row r="20" spans="1:9" x14ac:dyDescent="0.3">
      <c r="A20" s="1" t="s">
        <v>29</v>
      </c>
      <c r="B20" t="s">
        <v>10</v>
      </c>
      <c r="C20">
        <v>0.8639</v>
      </c>
      <c r="D20">
        <v>1.0394000000000001</v>
      </c>
      <c r="E20">
        <v>2.9341804683038309E-4</v>
      </c>
      <c r="F20">
        <v>-0.86719999999999997</v>
      </c>
      <c r="G20" t="s">
        <v>11</v>
      </c>
      <c r="H20" t="s">
        <v>11</v>
      </c>
      <c r="I20">
        <v>0</v>
      </c>
    </row>
    <row r="23" spans="1:9" x14ac:dyDescent="0.3">
      <c r="B23" t="s">
        <v>68</v>
      </c>
      <c r="C23" t="s">
        <v>58</v>
      </c>
      <c r="D23" t="s">
        <v>69</v>
      </c>
      <c r="E23" t="s">
        <v>70</v>
      </c>
      <c r="F23" t="s">
        <v>71</v>
      </c>
      <c r="G23" t="s">
        <v>60</v>
      </c>
    </row>
    <row r="24" spans="1:9" x14ac:dyDescent="0.3">
      <c r="A24" s="6" t="s">
        <v>72</v>
      </c>
      <c r="B24" s="6">
        <f>MAX(C2:C20)</f>
        <v>0.96030000000000004</v>
      </c>
      <c r="C24" s="6" t="str">
        <f>INDEX(Tabla2[Maquina],MATCH(B24,Tabla2[I_max '[pu']],0))</f>
        <v>Nueva Renca</v>
      </c>
      <c r="D24" s="6">
        <f>INDEX(Tabla2[I_max en t '[s']],MATCH(B24,Tabla2[I_max '[pu']],0))</f>
        <v>1.0416000000000001</v>
      </c>
      <c r="E24" s="6">
        <f>COUNTIF(G2:G20,"Si")</f>
        <v>0</v>
      </c>
      <c r="F24" s="6">
        <f>COUNTIF(H2:H20,"Si")</f>
        <v>0</v>
      </c>
      <c r="G24" s="7">
        <f>AVERAGE(Tabla2[I_max '[pu']])</f>
        <v>0.69192631578947361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3BC2-82CC-4E0D-B5D0-0CE7956F0A06}">
  <dimension ref="A1:I24"/>
  <sheetViews>
    <sheetView workbookViewId="0">
      <selection activeCell="B24" sqref="B24:G24"/>
    </sheetView>
  </sheetViews>
  <sheetFormatPr baseColWidth="10" defaultRowHeight="14.4" x14ac:dyDescent="0.3"/>
  <cols>
    <col min="1" max="1" width="20.44140625" bestFit="1" customWidth="1"/>
    <col min="2" max="2" width="15.109375" bestFit="1" customWidth="1"/>
    <col min="3" max="3" width="15" bestFit="1" customWidth="1"/>
    <col min="4" max="4" width="17.44140625" bestFit="1" customWidth="1"/>
    <col min="5" max="5" width="16.33203125" bestFit="1" customWidth="1"/>
    <col min="6" max="6" width="14.6640625" bestFit="1" customWidth="1"/>
    <col min="7" max="7" width="25.33203125" bestFit="1" customWidth="1"/>
    <col min="8" max="8" width="23.44140625" bestFit="1" customWidth="1"/>
    <col min="9" max="9" width="26.44140625" bestFit="1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30</v>
      </c>
      <c r="B2" t="s">
        <v>31</v>
      </c>
      <c r="C2">
        <v>0.75409999999999999</v>
      </c>
      <c r="D2">
        <v>0.99880000000000002</v>
      </c>
      <c r="E2">
        <v>9.4622120692936144E-5</v>
      </c>
      <c r="F2">
        <v>-0.75839999999999996</v>
      </c>
      <c r="G2" t="s">
        <v>11</v>
      </c>
      <c r="H2" t="s">
        <v>11</v>
      </c>
      <c r="I2">
        <v>0</v>
      </c>
    </row>
    <row r="3" spans="1:9" x14ac:dyDescent="0.3">
      <c r="A3" s="1" t="s">
        <v>32</v>
      </c>
      <c r="B3" t="s">
        <v>31</v>
      </c>
      <c r="C3">
        <v>0.65490000000000004</v>
      </c>
      <c r="D3">
        <v>0.99880000000000002</v>
      </c>
      <c r="E3">
        <v>7.4209975252237007E-5</v>
      </c>
      <c r="F3">
        <v>-0.65880000000000005</v>
      </c>
      <c r="G3" t="s">
        <v>11</v>
      </c>
      <c r="H3" t="s">
        <v>11</v>
      </c>
      <c r="I3">
        <v>0</v>
      </c>
    </row>
    <row r="4" spans="1:9" x14ac:dyDescent="0.3">
      <c r="A4" s="1" t="s">
        <v>33</v>
      </c>
      <c r="B4" t="s">
        <v>31</v>
      </c>
      <c r="C4">
        <v>0.38519999999999999</v>
      </c>
      <c r="D4">
        <v>1.0412999999999999</v>
      </c>
      <c r="E4">
        <v>1.2492861222158721E-4</v>
      </c>
      <c r="F4">
        <v>-0.40649999999999997</v>
      </c>
      <c r="G4" t="s">
        <v>11</v>
      </c>
      <c r="H4" t="s">
        <v>11</v>
      </c>
      <c r="I4">
        <v>0</v>
      </c>
    </row>
    <row r="5" spans="1:9" x14ac:dyDescent="0.3">
      <c r="A5" s="1" t="s">
        <v>34</v>
      </c>
      <c r="B5" t="s">
        <v>31</v>
      </c>
      <c r="C5">
        <v>0.75860000000000005</v>
      </c>
      <c r="D5">
        <v>1.04</v>
      </c>
      <c r="E5">
        <v>8.4723015419761857E-5</v>
      </c>
      <c r="F5">
        <v>-0.76790000000000003</v>
      </c>
      <c r="G5" t="s">
        <v>11</v>
      </c>
      <c r="H5" t="s">
        <v>11</v>
      </c>
      <c r="I5">
        <v>0</v>
      </c>
    </row>
    <row r="6" spans="1:9" x14ac:dyDescent="0.3">
      <c r="A6" s="1" t="s">
        <v>35</v>
      </c>
      <c r="B6" t="s">
        <v>31</v>
      </c>
      <c r="C6">
        <v>0.79590000000000005</v>
      </c>
      <c r="D6">
        <v>1.0404</v>
      </c>
      <c r="E6">
        <v>1.3028745478773751E-4</v>
      </c>
      <c r="F6">
        <v>-0.80769999999999997</v>
      </c>
      <c r="G6" t="s">
        <v>11</v>
      </c>
      <c r="H6" t="s">
        <v>11</v>
      </c>
      <c r="I6">
        <v>0</v>
      </c>
    </row>
    <row r="7" spans="1:9" x14ac:dyDescent="0.3">
      <c r="A7" s="1" t="s">
        <v>36</v>
      </c>
      <c r="B7" t="s">
        <v>31</v>
      </c>
      <c r="C7">
        <v>0.83530000000000004</v>
      </c>
      <c r="D7">
        <v>1.0410999999999999</v>
      </c>
      <c r="E7">
        <v>2.7009803921568601E-4</v>
      </c>
      <c r="F7">
        <v>-0.85640000000000005</v>
      </c>
      <c r="G7" t="s">
        <v>11</v>
      </c>
      <c r="H7" t="s">
        <v>11</v>
      </c>
      <c r="I7">
        <v>0</v>
      </c>
    </row>
    <row r="8" spans="1:9" x14ac:dyDescent="0.3">
      <c r="A8" s="1" t="s">
        <v>37</v>
      </c>
      <c r="B8" t="s">
        <v>31</v>
      </c>
      <c r="C8">
        <v>0.49880000000000002</v>
      </c>
      <c r="D8">
        <v>1.0412999999999999</v>
      </c>
      <c r="E8">
        <v>8.2733675994669389E-5</v>
      </c>
      <c r="F8">
        <v>-0.50970000000000004</v>
      </c>
      <c r="G8" t="s">
        <v>11</v>
      </c>
      <c r="H8" t="s">
        <v>11</v>
      </c>
      <c r="I8">
        <v>0</v>
      </c>
    </row>
    <row r="9" spans="1:9" x14ac:dyDescent="0.3">
      <c r="A9" s="1" t="s">
        <v>38</v>
      </c>
      <c r="B9" t="s">
        <v>31</v>
      </c>
      <c r="C9">
        <v>0.84130000000000005</v>
      </c>
      <c r="D9">
        <v>0.99909999999999999</v>
      </c>
      <c r="E9">
        <v>1.6276889396535271E-4</v>
      </c>
      <c r="F9">
        <v>-0.85289999999999999</v>
      </c>
      <c r="G9" t="s">
        <v>11</v>
      </c>
      <c r="H9" t="s">
        <v>11</v>
      </c>
      <c r="I9">
        <v>0</v>
      </c>
    </row>
    <row r="10" spans="1:9" x14ac:dyDescent="0.3">
      <c r="A10" s="1" t="s">
        <v>39</v>
      </c>
      <c r="B10" t="s">
        <v>31</v>
      </c>
      <c r="C10">
        <v>0.31209999999999999</v>
      </c>
      <c r="D10">
        <v>0.99980000000000002</v>
      </c>
      <c r="E10">
        <v>1.6035598705501671E-4</v>
      </c>
      <c r="F10">
        <v>-0.31209999999999999</v>
      </c>
      <c r="G10" t="s">
        <v>11</v>
      </c>
      <c r="H10" t="s">
        <v>11</v>
      </c>
      <c r="I10">
        <v>0</v>
      </c>
    </row>
    <row r="11" spans="1:9" x14ac:dyDescent="0.3">
      <c r="A11" s="1" t="s">
        <v>20</v>
      </c>
      <c r="B11" t="s">
        <v>10</v>
      </c>
      <c r="C11">
        <v>0.8135</v>
      </c>
      <c r="D11">
        <v>1.9987999999999999</v>
      </c>
      <c r="E11">
        <v>3.137016942699415E-4</v>
      </c>
      <c r="F11">
        <v>-0.8145</v>
      </c>
      <c r="G11" t="s">
        <v>11</v>
      </c>
      <c r="H11" t="s">
        <v>11</v>
      </c>
      <c r="I11">
        <v>0</v>
      </c>
    </row>
    <row r="12" spans="1:9" x14ac:dyDescent="0.3">
      <c r="A12" s="1" t="s">
        <v>21</v>
      </c>
      <c r="B12" t="s">
        <v>10</v>
      </c>
      <c r="C12">
        <v>0.54249999999999998</v>
      </c>
      <c r="D12">
        <v>1.0426</v>
      </c>
      <c r="E12">
        <v>-1.846563868265947E-5</v>
      </c>
      <c r="F12">
        <v>-0.54300000000000004</v>
      </c>
      <c r="G12" t="s">
        <v>11</v>
      </c>
      <c r="H12" t="s">
        <v>11</v>
      </c>
      <c r="I12">
        <v>0</v>
      </c>
    </row>
    <row r="13" spans="1:9" x14ac:dyDescent="0.3">
      <c r="A13" s="1" t="s">
        <v>22</v>
      </c>
      <c r="B13" t="s">
        <v>10</v>
      </c>
      <c r="C13">
        <v>0.84830000000000005</v>
      </c>
      <c r="D13">
        <v>1.5396000000000001</v>
      </c>
      <c r="E13">
        <v>1.9212354844850421E-4</v>
      </c>
      <c r="F13">
        <v>-0.85819999999999996</v>
      </c>
      <c r="G13" t="s">
        <v>11</v>
      </c>
      <c r="H13" t="s">
        <v>11</v>
      </c>
      <c r="I13">
        <v>0</v>
      </c>
    </row>
    <row r="14" spans="1:9" x14ac:dyDescent="0.3">
      <c r="A14" s="1" t="s">
        <v>23</v>
      </c>
      <c r="B14" t="s">
        <v>10</v>
      </c>
      <c r="C14">
        <v>0.75829999999999997</v>
      </c>
      <c r="D14">
        <v>0.20030000000000001</v>
      </c>
      <c r="E14">
        <v>1.666285931848471E-4</v>
      </c>
      <c r="F14">
        <v>-0.75849999999999995</v>
      </c>
      <c r="G14" t="s">
        <v>11</v>
      </c>
      <c r="H14" t="s">
        <v>11</v>
      </c>
      <c r="I14">
        <v>0</v>
      </c>
    </row>
    <row r="15" spans="1:9" x14ac:dyDescent="0.3">
      <c r="A15" s="1" t="s">
        <v>24</v>
      </c>
      <c r="B15" t="s">
        <v>10</v>
      </c>
      <c r="C15">
        <v>0.74370000000000003</v>
      </c>
      <c r="D15">
        <v>1.9805999999999999</v>
      </c>
      <c r="E15">
        <v>3.5124214734437719E-4</v>
      </c>
      <c r="F15">
        <v>-0.74380000000000002</v>
      </c>
      <c r="G15" t="s">
        <v>11</v>
      </c>
      <c r="H15" t="s">
        <v>11</v>
      </c>
      <c r="I15">
        <v>0</v>
      </c>
    </row>
    <row r="16" spans="1:9" x14ac:dyDescent="0.3">
      <c r="A16" s="1" t="s">
        <v>25</v>
      </c>
      <c r="B16" t="s">
        <v>10</v>
      </c>
      <c r="C16">
        <v>0.80579999999999996</v>
      </c>
      <c r="D16">
        <v>-1.89E-2</v>
      </c>
      <c r="E16">
        <v>3.0408338092518768E-4</v>
      </c>
      <c r="F16">
        <v>-0.80579999999999996</v>
      </c>
      <c r="G16" t="s">
        <v>11</v>
      </c>
      <c r="H16" t="s">
        <v>11</v>
      </c>
      <c r="I16">
        <v>0</v>
      </c>
    </row>
    <row r="17" spans="1:9" x14ac:dyDescent="0.3">
      <c r="A17" s="1" t="s">
        <v>26</v>
      </c>
      <c r="B17" t="s">
        <v>10</v>
      </c>
      <c r="C17">
        <v>0.96030000000000004</v>
      </c>
      <c r="D17">
        <v>1.0416000000000001</v>
      </c>
      <c r="E17">
        <v>2.306777079763918E-4</v>
      </c>
      <c r="F17">
        <v>-0.96970000000000001</v>
      </c>
      <c r="G17" t="s">
        <v>11</v>
      </c>
      <c r="H17" t="s">
        <v>11</v>
      </c>
      <c r="I17">
        <v>0</v>
      </c>
    </row>
    <row r="18" spans="1:9" x14ac:dyDescent="0.3">
      <c r="A18" s="1" t="s">
        <v>27</v>
      </c>
      <c r="B18" t="s">
        <v>10</v>
      </c>
      <c r="C18">
        <v>0.3402</v>
      </c>
      <c r="D18">
        <v>1.982</v>
      </c>
      <c r="E18">
        <v>1.3730249381305889E-4</v>
      </c>
      <c r="F18">
        <v>-0.34050000000000002</v>
      </c>
      <c r="G18" t="s">
        <v>11</v>
      </c>
      <c r="H18" t="s">
        <v>11</v>
      </c>
      <c r="I18">
        <v>0</v>
      </c>
    </row>
    <row r="19" spans="1:9" x14ac:dyDescent="0.3">
      <c r="A19" s="1" t="s">
        <v>28</v>
      </c>
      <c r="B19" t="s">
        <v>10</v>
      </c>
      <c r="C19">
        <v>0.66690000000000005</v>
      </c>
      <c r="D19">
        <v>1.0404</v>
      </c>
      <c r="E19">
        <v>-2.163906339234741E-4</v>
      </c>
      <c r="F19">
        <v>-0.66990000000000005</v>
      </c>
      <c r="G19" t="s">
        <v>11</v>
      </c>
      <c r="H19" t="s">
        <v>11</v>
      </c>
      <c r="I19">
        <v>0</v>
      </c>
    </row>
    <row r="20" spans="1:9" x14ac:dyDescent="0.3">
      <c r="A20" s="1" t="s">
        <v>29</v>
      </c>
      <c r="B20" t="s">
        <v>10</v>
      </c>
      <c r="C20">
        <v>0.86529999999999996</v>
      </c>
      <c r="D20">
        <v>1.9590000000000001</v>
      </c>
      <c r="E20">
        <v>2.7114030078050631E-4</v>
      </c>
      <c r="F20">
        <v>-0.86699999999999999</v>
      </c>
      <c r="G20" t="s">
        <v>11</v>
      </c>
      <c r="H20" t="s">
        <v>11</v>
      </c>
      <c r="I20">
        <v>0</v>
      </c>
    </row>
    <row r="23" spans="1:9" x14ac:dyDescent="0.3">
      <c r="B23" t="s">
        <v>68</v>
      </c>
      <c r="C23" t="s">
        <v>58</v>
      </c>
      <c r="D23" t="s">
        <v>69</v>
      </c>
      <c r="E23" t="s">
        <v>70</v>
      </c>
      <c r="F23" t="s">
        <v>71</v>
      </c>
      <c r="G23" t="s">
        <v>60</v>
      </c>
    </row>
    <row r="24" spans="1:9" x14ac:dyDescent="0.3">
      <c r="A24" s="6" t="s">
        <v>72</v>
      </c>
      <c r="B24" s="6">
        <f>MAX(C2:C20)</f>
        <v>0.96030000000000004</v>
      </c>
      <c r="C24" s="6" t="str">
        <f>INDEX(Tabla3[Maquina],MATCH(B24,Tabla3[I_max '[pu']],0))</f>
        <v>Nueva Renca</v>
      </c>
      <c r="D24" s="6">
        <f>INDEX(Tabla3[I_max en t '[s']],MATCH(B24,Tabla3[I_max '[pu']],0))</f>
        <v>1.0416000000000001</v>
      </c>
      <c r="E24" s="6">
        <f>COUNTIF(G2:G20,"Si")</f>
        <v>0</v>
      </c>
      <c r="F24" s="6">
        <f>COUNTIF(H2:H20,"Si")</f>
        <v>0</v>
      </c>
      <c r="G24" s="7">
        <f>AVERAGE(Tabla2[I_max '[pu']])</f>
        <v>0.69192631578947361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5DBB-2BEF-4789-97FC-04E3E9D695F5}">
  <dimension ref="A1:I24"/>
  <sheetViews>
    <sheetView workbookViewId="0">
      <selection activeCell="B24" sqref="B24:G24"/>
    </sheetView>
  </sheetViews>
  <sheetFormatPr baseColWidth="10" defaultRowHeight="14.4" x14ac:dyDescent="0.3"/>
  <cols>
    <col min="1" max="1" width="20.44140625" bestFit="1" customWidth="1"/>
    <col min="2" max="2" width="15.109375" bestFit="1" customWidth="1"/>
    <col min="3" max="3" width="15" bestFit="1" customWidth="1"/>
    <col min="4" max="4" width="17.44140625" bestFit="1" customWidth="1"/>
    <col min="5" max="5" width="16.33203125" bestFit="1" customWidth="1"/>
    <col min="6" max="6" width="14.6640625" bestFit="1" customWidth="1"/>
    <col min="7" max="7" width="25.33203125" bestFit="1" customWidth="1"/>
    <col min="8" max="8" width="23.44140625" bestFit="1" customWidth="1"/>
    <col min="9" max="9" width="26.44140625" bestFit="1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30</v>
      </c>
      <c r="B2" t="s">
        <v>31</v>
      </c>
      <c r="C2">
        <v>0.75700000000000001</v>
      </c>
      <c r="D2">
        <v>0.83889999999999998</v>
      </c>
      <c r="E2">
        <v>1.128593184846706E-4</v>
      </c>
      <c r="F2">
        <v>-0.75919999999999999</v>
      </c>
      <c r="G2" t="s">
        <v>11</v>
      </c>
      <c r="H2" t="s">
        <v>11</v>
      </c>
      <c r="I2">
        <v>0</v>
      </c>
    </row>
    <row r="3" spans="1:9" x14ac:dyDescent="0.3">
      <c r="A3" s="1" t="s">
        <v>32</v>
      </c>
      <c r="B3" t="s">
        <v>31</v>
      </c>
      <c r="C3">
        <v>0.6522</v>
      </c>
      <c r="D3">
        <v>0.79890000000000005</v>
      </c>
      <c r="E3">
        <v>9.9386065105653589E-5</v>
      </c>
      <c r="F3">
        <v>-0.65229999999999999</v>
      </c>
      <c r="G3" t="s">
        <v>11</v>
      </c>
      <c r="H3" t="s">
        <v>11</v>
      </c>
      <c r="I3">
        <v>0</v>
      </c>
    </row>
    <row r="4" spans="1:9" x14ac:dyDescent="0.3">
      <c r="A4" s="1" t="s">
        <v>33</v>
      </c>
      <c r="B4" t="s">
        <v>31</v>
      </c>
      <c r="C4">
        <v>0.376</v>
      </c>
      <c r="D4">
        <v>1.0215000000000001</v>
      </c>
      <c r="E4">
        <v>1.075004759185228E-4</v>
      </c>
      <c r="F4">
        <v>-0.39800000000000002</v>
      </c>
      <c r="G4" t="s">
        <v>11</v>
      </c>
      <c r="H4" t="s">
        <v>11</v>
      </c>
      <c r="I4">
        <v>0</v>
      </c>
    </row>
    <row r="5" spans="1:9" x14ac:dyDescent="0.3">
      <c r="A5" s="1" t="s">
        <v>34</v>
      </c>
      <c r="B5" t="s">
        <v>31</v>
      </c>
      <c r="C5">
        <v>0.75680000000000003</v>
      </c>
      <c r="D5">
        <v>0.83889999999999998</v>
      </c>
      <c r="E5">
        <v>1.0160384542166489E-4</v>
      </c>
      <c r="F5">
        <v>-0.76800000000000002</v>
      </c>
      <c r="G5" t="s">
        <v>11</v>
      </c>
      <c r="H5" t="s">
        <v>11</v>
      </c>
      <c r="I5">
        <v>0</v>
      </c>
    </row>
    <row r="6" spans="1:9" x14ac:dyDescent="0.3">
      <c r="A6" s="1" t="s">
        <v>35</v>
      </c>
      <c r="B6" t="s">
        <v>31</v>
      </c>
      <c r="C6">
        <v>0.78939999999999999</v>
      </c>
      <c r="D6">
        <v>1.0406</v>
      </c>
      <c r="E6">
        <v>1.4943365695792819E-4</v>
      </c>
      <c r="F6">
        <v>-0.80069999999999997</v>
      </c>
      <c r="G6" t="s">
        <v>11</v>
      </c>
      <c r="H6" t="s">
        <v>11</v>
      </c>
      <c r="I6">
        <v>0</v>
      </c>
    </row>
    <row r="7" spans="1:9" x14ac:dyDescent="0.3">
      <c r="A7" s="1" t="s">
        <v>36</v>
      </c>
      <c r="B7" t="s">
        <v>31</v>
      </c>
      <c r="C7">
        <v>0.82479999999999998</v>
      </c>
      <c r="D7">
        <v>1.0411999999999999</v>
      </c>
      <c r="E7">
        <v>2.3724062440510349E-4</v>
      </c>
      <c r="F7">
        <v>-0.84819999999999995</v>
      </c>
      <c r="G7" t="s">
        <v>11</v>
      </c>
      <c r="H7" t="s">
        <v>11</v>
      </c>
      <c r="I7">
        <v>0</v>
      </c>
    </row>
    <row r="8" spans="1:9" x14ac:dyDescent="0.3">
      <c r="A8" s="1" t="s">
        <v>37</v>
      </c>
      <c r="B8" t="s">
        <v>31</v>
      </c>
      <c r="C8">
        <v>0.49049999999999999</v>
      </c>
      <c r="D8">
        <v>1.0415000000000001</v>
      </c>
      <c r="E8">
        <v>1.013325718636968E-4</v>
      </c>
      <c r="F8">
        <v>-0.50019999999999998</v>
      </c>
      <c r="G8" t="s">
        <v>11</v>
      </c>
      <c r="H8" t="s">
        <v>11</v>
      </c>
      <c r="I8">
        <v>0</v>
      </c>
    </row>
    <row r="9" spans="1:9" x14ac:dyDescent="0.3">
      <c r="A9" s="1" t="s">
        <v>38</v>
      </c>
      <c r="B9" t="s">
        <v>31</v>
      </c>
      <c r="C9">
        <v>0.84399999999999997</v>
      </c>
      <c r="D9">
        <v>0.93959999999999999</v>
      </c>
      <c r="E9">
        <v>1.56796116504852E-4</v>
      </c>
      <c r="F9">
        <v>-0.86080000000000001</v>
      </c>
      <c r="G9" t="s">
        <v>11</v>
      </c>
      <c r="H9" t="s">
        <v>11</v>
      </c>
      <c r="I9">
        <v>0</v>
      </c>
    </row>
    <row r="10" spans="1:9" x14ac:dyDescent="0.3">
      <c r="A10" s="1" t="s">
        <v>39</v>
      </c>
      <c r="B10" t="s">
        <v>31</v>
      </c>
      <c r="C10">
        <v>0.30659999999999998</v>
      </c>
      <c r="D10">
        <v>1.0004</v>
      </c>
      <c r="E10">
        <v>1.597563297163522E-4</v>
      </c>
      <c r="F10">
        <v>-0.30759999999999998</v>
      </c>
      <c r="G10" t="s">
        <v>11</v>
      </c>
      <c r="H10" t="s">
        <v>11</v>
      </c>
      <c r="I10">
        <v>0</v>
      </c>
    </row>
    <row r="11" spans="1:9" x14ac:dyDescent="0.3">
      <c r="A11" s="1" t="s">
        <v>40</v>
      </c>
      <c r="B11" t="s">
        <v>31</v>
      </c>
      <c r="C11">
        <v>0.81850000000000001</v>
      </c>
      <c r="D11">
        <v>1.0398000000000001</v>
      </c>
      <c r="E11">
        <v>1.516514372739371E-4</v>
      </c>
      <c r="F11">
        <v>-0.82240000000000002</v>
      </c>
      <c r="G11" t="s">
        <v>11</v>
      </c>
      <c r="H11" t="s">
        <v>11</v>
      </c>
      <c r="I11">
        <v>0</v>
      </c>
    </row>
    <row r="12" spans="1:9" x14ac:dyDescent="0.3">
      <c r="A12" s="1" t="s">
        <v>41</v>
      </c>
      <c r="B12" t="s">
        <v>31</v>
      </c>
      <c r="C12">
        <v>0.59230000000000005</v>
      </c>
      <c r="D12">
        <v>1.0434000000000001</v>
      </c>
      <c r="E12">
        <v>2.6374928612221579E-4</v>
      </c>
      <c r="F12">
        <v>-0.59219999999999995</v>
      </c>
      <c r="G12" t="s">
        <v>11</v>
      </c>
      <c r="H12" t="s">
        <v>11</v>
      </c>
      <c r="I12">
        <v>0</v>
      </c>
    </row>
    <row r="13" spans="1:9" x14ac:dyDescent="0.3">
      <c r="A13" s="1" t="s">
        <v>42</v>
      </c>
      <c r="B13" t="s">
        <v>31</v>
      </c>
      <c r="C13">
        <v>0.88080000000000003</v>
      </c>
      <c r="D13">
        <v>1.0404</v>
      </c>
      <c r="E13">
        <v>1.7543784504093059E-4</v>
      </c>
      <c r="F13">
        <v>-0.88829999999999998</v>
      </c>
      <c r="G13" t="s">
        <v>11</v>
      </c>
      <c r="H13" t="s">
        <v>11</v>
      </c>
      <c r="I13">
        <v>0</v>
      </c>
    </row>
    <row r="14" spans="1:9" x14ac:dyDescent="0.3">
      <c r="A14" s="1" t="s">
        <v>43</v>
      </c>
      <c r="B14" t="s">
        <v>31</v>
      </c>
      <c r="C14">
        <v>0.76580000000000004</v>
      </c>
      <c r="D14">
        <v>1.1029</v>
      </c>
      <c r="E14">
        <v>2.3069674471730211E-4</v>
      </c>
      <c r="F14">
        <v>-0.7671</v>
      </c>
      <c r="G14" t="s">
        <v>11</v>
      </c>
      <c r="H14" t="s">
        <v>11</v>
      </c>
      <c r="I14">
        <v>0</v>
      </c>
    </row>
    <row r="15" spans="1:9" x14ac:dyDescent="0.3">
      <c r="A15" s="1" t="s">
        <v>44</v>
      </c>
      <c r="B15" t="s">
        <v>31</v>
      </c>
      <c r="C15">
        <v>0.74760000000000004</v>
      </c>
      <c r="D15">
        <v>1.0215000000000001</v>
      </c>
      <c r="E15">
        <v>2.874785836664777E-4</v>
      </c>
      <c r="F15">
        <v>-0.74829999999999997</v>
      </c>
      <c r="G15" t="s">
        <v>11</v>
      </c>
      <c r="H15" t="s">
        <v>11</v>
      </c>
      <c r="I15">
        <v>0</v>
      </c>
    </row>
    <row r="16" spans="1:9" x14ac:dyDescent="0.3">
      <c r="A16" s="1" t="s">
        <v>25</v>
      </c>
      <c r="B16" t="s">
        <v>10</v>
      </c>
      <c r="C16">
        <v>0.84040000000000004</v>
      </c>
      <c r="D16">
        <v>1.9830000000000001</v>
      </c>
      <c r="E16">
        <v>2.5925661526746921E-4</v>
      </c>
      <c r="F16">
        <v>-0.84050000000000002</v>
      </c>
      <c r="G16" t="s">
        <v>11</v>
      </c>
      <c r="H16" t="s">
        <v>11</v>
      </c>
      <c r="I16">
        <v>0</v>
      </c>
    </row>
    <row r="17" spans="1:9" x14ac:dyDescent="0.3">
      <c r="A17" s="1" t="s">
        <v>26</v>
      </c>
      <c r="B17" t="s">
        <v>10</v>
      </c>
      <c r="C17">
        <v>0.97829999999999995</v>
      </c>
      <c r="D17">
        <v>1.9819</v>
      </c>
      <c r="E17">
        <v>2.0031886541024439E-4</v>
      </c>
      <c r="F17">
        <v>-0.97960000000000003</v>
      </c>
      <c r="G17" t="s">
        <v>11</v>
      </c>
      <c r="H17" t="s">
        <v>11</v>
      </c>
      <c r="I17">
        <v>0</v>
      </c>
    </row>
    <row r="18" spans="1:9" x14ac:dyDescent="0.3">
      <c r="A18" s="1" t="s">
        <v>27</v>
      </c>
      <c r="B18" t="s">
        <v>10</v>
      </c>
      <c r="C18">
        <v>0.3493</v>
      </c>
      <c r="D18">
        <v>1.9829000000000001</v>
      </c>
      <c r="E18">
        <v>1.361317342470965E-4</v>
      </c>
      <c r="F18">
        <v>-0.34939999999999999</v>
      </c>
      <c r="G18" t="s">
        <v>11</v>
      </c>
      <c r="H18" t="s">
        <v>11</v>
      </c>
      <c r="I18">
        <v>0</v>
      </c>
    </row>
    <row r="19" spans="1:9" x14ac:dyDescent="0.3">
      <c r="A19" s="1" t="s">
        <v>28</v>
      </c>
      <c r="B19" t="s">
        <v>10</v>
      </c>
      <c r="C19">
        <v>0.69610000000000005</v>
      </c>
      <c r="D19">
        <v>1.9809000000000001</v>
      </c>
      <c r="E19">
        <v>-2.7103083952027498E-4</v>
      </c>
      <c r="F19">
        <v>-0.69720000000000004</v>
      </c>
      <c r="G19" t="s">
        <v>11</v>
      </c>
      <c r="H19" t="s">
        <v>11</v>
      </c>
      <c r="I19">
        <v>0</v>
      </c>
    </row>
    <row r="20" spans="1:9" x14ac:dyDescent="0.3">
      <c r="A20" s="1" t="s">
        <v>29</v>
      </c>
      <c r="B20" t="s">
        <v>10</v>
      </c>
      <c r="C20">
        <v>0.86870000000000003</v>
      </c>
      <c r="D20">
        <v>1.9197</v>
      </c>
      <c r="E20">
        <v>1.605463544641169E-4</v>
      </c>
      <c r="F20">
        <v>-0.86870000000000003</v>
      </c>
      <c r="G20" t="s">
        <v>11</v>
      </c>
      <c r="H20" t="s">
        <v>11</v>
      </c>
      <c r="I20">
        <v>0</v>
      </c>
    </row>
    <row r="23" spans="1:9" x14ac:dyDescent="0.3">
      <c r="B23" t="s">
        <v>68</v>
      </c>
      <c r="C23" t="s">
        <v>58</v>
      </c>
      <c r="D23" t="s">
        <v>69</v>
      </c>
      <c r="E23" t="s">
        <v>70</v>
      </c>
      <c r="F23" t="s">
        <v>71</v>
      </c>
      <c r="G23" t="s">
        <v>60</v>
      </c>
    </row>
    <row r="24" spans="1:9" x14ac:dyDescent="0.3">
      <c r="A24" s="6" t="s">
        <v>72</v>
      </c>
      <c r="B24" s="6">
        <f>MAX(C2:C20)</f>
        <v>0.97829999999999995</v>
      </c>
      <c r="C24" s="6" t="str">
        <f>INDEX(Tabla4[Maquina],MATCH(B24,Tabla4[I_max '[pu']],0))</f>
        <v>Nueva Renca</v>
      </c>
      <c r="D24" s="6">
        <f>INDEX(Tabla4[I_max en t '[s']],MATCH(B24,Tabla4[I_max '[pu']],0))</f>
        <v>1.9819</v>
      </c>
      <c r="E24" s="6">
        <f>COUNTIF(G2:G20,"Si")</f>
        <v>0</v>
      </c>
      <c r="F24" s="6">
        <f>COUNTIF(H2:H20,"Si")</f>
        <v>0</v>
      </c>
      <c r="G24" s="7">
        <f>AVERAGE(Tabla2[I_max '[pu']])</f>
        <v>0.69192631578947361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2A4D8-D57A-4FBD-8B48-C5153D50AC92}">
  <dimension ref="A1:I24"/>
  <sheetViews>
    <sheetView workbookViewId="0">
      <selection activeCell="B24" sqref="B24:G24"/>
    </sheetView>
  </sheetViews>
  <sheetFormatPr baseColWidth="10" defaultRowHeight="14.4" x14ac:dyDescent="0.3"/>
  <cols>
    <col min="1" max="1" width="20.44140625" bestFit="1" customWidth="1"/>
    <col min="2" max="2" width="15.109375" bestFit="1" customWidth="1"/>
    <col min="3" max="3" width="15" bestFit="1" customWidth="1"/>
    <col min="4" max="4" width="17.44140625" bestFit="1" customWidth="1"/>
    <col min="5" max="5" width="16.33203125" bestFit="1" customWidth="1"/>
    <col min="6" max="6" width="14.6640625" bestFit="1" customWidth="1"/>
    <col min="7" max="7" width="25.33203125" bestFit="1" customWidth="1"/>
    <col min="8" max="8" width="23.44140625" bestFit="1" customWidth="1"/>
    <col min="9" max="9" width="26.44140625" bestFit="1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30</v>
      </c>
      <c r="B2" t="s">
        <v>31</v>
      </c>
      <c r="C2">
        <v>0.75519999999999998</v>
      </c>
      <c r="D2">
        <v>0.51890000000000003</v>
      </c>
      <c r="E2">
        <v>1.0454502189225139E-4</v>
      </c>
      <c r="F2">
        <v>-0.75760000000000005</v>
      </c>
      <c r="G2" t="s">
        <v>11</v>
      </c>
      <c r="H2" t="s">
        <v>11</v>
      </c>
      <c r="I2">
        <v>0</v>
      </c>
    </row>
    <row r="3" spans="1:9" x14ac:dyDescent="0.3">
      <c r="A3" s="1" t="s">
        <v>32</v>
      </c>
      <c r="B3" t="s">
        <v>31</v>
      </c>
      <c r="C3">
        <v>0.65049999999999997</v>
      </c>
      <c r="D3">
        <v>0.53890000000000005</v>
      </c>
      <c r="E3">
        <v>9.5697696554348531E-5</v>
      </c>
      <c r="F3">
        <v>-0.65049999999999997</v>
      </c>
      <c r="G3" t="s">
        <v>11</v>
      </c>
      <c r="H3" t="s">
        <v>11</v>
      </c>
      <c r="I3">
        <v>0</v>
      </c>
    </row>
    <row r="4" spans="1:9" x14ac:dyDescent="0.3">
      <c r="A4" s="1" t="s">
        <v>33</v>
      </c>
      <c r="B4" t="s">
        <v>31</v>
      </c>
      <c r="C4">
        <v>0.37409999999999999</v>
      </c>
      <c r="D4">
        <v>1.0215000000000001</v>
      </c>
      <c r="E4">
        <v>1.100323624595466E-4</v>
      </c>
      <c r="F4">
        <v>-0.39489999999999997</v>
      </c>
      <c r="G4" t="s">
        <v>11</v>
      </c>
      <c r="H4" t="s">
        <v>11</v>
      </c>
      <c r="I4">
        <v>0</v>
      </c>
    </row>
    <row r="5" spans="1:9" x14ac:dyDescent="0.3">
      <c r="A5" s="1" t="s">
        <v>34</v>
      </c>
      <c r="B5" t="s">
        <v>31</v>
      </c>
      <c r="C5">
        <v>0.755</v>
      </c>
      <c r="D5">
        <v>0.51890000000000003</v>
      </c>
      <c r="E5">
        <v>9.2261564820101663E-5</v>
      </c>
      <c r="F5">
        <v>-0.76649999999999996</v>
      </c>
      <c r="G5" t="s">
        <v>11</v>
      </c>
      <c r="H5" t="s">
        <v>11</v>
      </c>
      <c r="I5">
        <v>0</v>
      </c>
    </row>
    <row r="6" spans="1:9" x14ac:dyDescent="0.3">
      <c r="A6" s="1" t="s">
        <v>35</v>
      </c>
      <c r="B6" t="s">
        <v>31</v>
      </c>
      <c r="C6">
        <v>0.78720000000000001</v>
      </c>
      <c r="D6">
        <v>1.0406</v>
      </c>
      <c r="E6">
        <v>1.422615648201064E-4</v>
      </c>
      <c r="F6">
        <v>-0.79669999999999996</v>
      </c>
      <c r="G6" t="s">
        <v>11</v>
      </c>
      <c r="H6" t="s">
        <v>11</v>
      </c>
      <c r="I6">
        <v>0</v>
      </c>
    </row>
    <row r="7" spans="1:9" x14ac:dyDescent="0.3">
      <c r="A7" s="1" t="s">
        <v>36</v>
      </c>
      <c r="B7" t="s">
        <v>31</v>
      </c>
      <c r="C7">
        <v>0.82299999999999995</v>
      </c>
      <c r="D7">
        <v>1.0411999999999999</v>
      </c>
      <c r="E7">
        <v>2.3287645155149411E-4</v>
      </c>
      <c r="F7">
        <v>-0.84509999999999996</v>
      </c>
      <c r="G7" t="s">
        <v>11</v>
      </c>
      <c r="H7" t="s">
        <v>11</v>
      </c>
      <c r="I7">
        <v>0</v>
      </c>
    </row>
    <row r="8" spans="1:9" x14ac:dyDescent="0.3">
      <c r="A8" s="1" t="s">
        <v>37</v>
      </c>
      <c r="B8" t="s">
        <v>31</v>
      </c>
      <c r="C8">
        <v>0.4894</v>
      </c>
      <c r="D8">
        <v>1.0415000000000001</v>
      </c>
      <c r="E8">
        <v>1.179088140110404E-4</v>
      </c>
      <c r="F8">
        <v>-0.49759999999999999</v>
      </c>
      <c r="G8" t="s">
        <v>11</v>
      </c>
      <c r="H8" t="s">
        <v>11</v>
      </c>
      <c r="I8">
        <v>0</v>
      </c>
    </row>
    <row r="9" spans="1:9" x14ac:dyDescent="0.3">
      <c r="A9" s="1" t="s">
        <v>38</v>
      </c>
      <c r="B9" t="s">
        <v>31</v>
      </c>
      <c r="C9">
        <v>0.84209999999999996</v>
      </c>
      <c r="D9">
        <v>0.59960000000000002</v>
      </c>
      <c r="E9">
        <v>1.549019607843164E-4</v>
      </c>
      <c r="F9">
        <v>-0.85870000000000002</v>
      </c>
      <c r="G9" t="s">
        <v>11</v>
      </c>
      <c r="H9" t="s">
        <v>11</v>
      </c>
      <c r="I9">
        <v>0</v>
      </c>
    </row>
    <row r="10" spans="1:9" x14ac:dyDescent="0.3">
      <c r="A10" s="1" t="s">
        <v>39</v>
      </c>
      <c r="B10" t="s">
        <v>31</v>
      </c>
      <c r="C10">
        <v>0.30380000000000001</v>
      </c>
      <c r="D10">
        <v>1.0004</v>
      </c>
      <c r="E10">
        <v>1.2255853797829791E-4</v>
      </c>
      <c r="F10">
        <v>-0.30570000000000003</v>
      </c>
      <c r="G10" t="s">
        <v>11</v>
      </c>
      <c r="H10" t="s">
        <v>11</v>
      </c>
      <c r="I10">
        <v>0</v>
      </c>
    </row>
    <row r="11" spans="1:9" x14ac:dyDescent="0.3">
      <c r="A11" s="1" t="s">
        <v>45</v>
      </c>
      <c r="B11" t="s">
        <v>31</v>
      </c>
      <c r="C11">
        <v>0.81459999999999999</v>
      </c>
      <c r="D11">
        <v>1.0397000000000001</v>
      </c>
      <c r="E11">
        <v>-5.9375594898153193E-5</v>
      </c>
      <c r="F11">
        <v>-0.81730000000000003</v>
      </c>
      <c r="G11" t="s">
        <v>11</v>
      </c>
      <c r="H11" t="s">
        <v>11</v>
      </c>
      <c r="I11">
        <v>0</v>
      </c>
    </row>
    <row r="12" spans="1:9" x14ac:dyDescent="0.3">
      <c r="A12" s="1" t="s">
        <v>46</v>
      </c>
      <c r="B12" t="s">
        <v>31</v>
      </c>
      <c r="C12">
        <v>0.58879999999999999</v>
      </c>
      <c r="D12">
        <v>1.0434000000000001</v>
      </c>
      <c r="E12">
        <v>1.5018084903864419E-4</v>
      </c>
      <c r="F12">
        <v>-0.58879999999999999</v>
      </c>
      <c r="G12" t="s">
        <v>11</v>
      </c>
      <c r="H12" t="s">
        <v>11</v>
      </c>
      <c r="I12">
        <v>0</v>
      </c>
    </row>
    <row r="13" spans="1:9" x14ac:dyDescent="0.3">
      <c r="A13" s="1" t="s">
        <v>47</v>
      </c>
      <c r="B13" t="s">
        <v>31</v>
      </c>
      <c r="C13">
        <v>0.87890000000000001</v>
      </c>
      <c r="D13">
        <v>1.0404</v>
      </c>
      <c r="E13">
        <v>1.8759280411193591E-4</v>
      </c>
      <c r="F13">
        <v>-0.88649999999999995</v>
      </c>
      <c r="G13" t="s">
        <v>11</v>
      </c>
      <c r="H13" t="s">
        <v>11</v>
      </c>
      <c r="I13">
        <v>0</v>
      </c>
    </row>
    <row r="14" spans="1:9" x14ac:dyDescent="0.3">
      <c r="A14" s="1" t="s">
        <v>48</v>
      </c>
      <c r="B14" t="s">
        <v>31</v>
      </c>
      <c r="C14">
        <v>0.76290000000000002</v>
      </c>
      <c r="D14">
        <v>1.1029</v>
      </c>
      <c r="E14">
        <v>1.6866076527698799E-4</v>
      </c>
      <c r="F14">
        <v>-0.76400000000000001</v>
      </c>
      <c r="G14" t="s">
        <v>11</v>
      </c>
      <c r="H14" t="s">
        <v>11</v>
      </c>
      <c r="I14">
        <v>0</v>
      </c>
    </row>
    <row r="15" spans="1:9" x14ac:dyDescent="0.3">
      <c r="A15" s="1" t="s">
        <v>49</v>
      </c>
      <c r="B15" t="s">
        <v>31</v>
      </c>
      <c r="C15">
        <v>0.745</v>
      </c>
      <c r="D15">
        <v>1.0415000000000001</v>
      </c>
      <c r="E15">
        <v>1.5469255663430839E-4</v>
      </c>
      <c r="F15">
        <v>-0.74590000000000001</v>
      </c>
      <c r="G15" t="s">
        <v>11</v>
      </c>
      <c r="H15" t="s">
        <v>11</v>
      </c>
      <c r="I15">
        <v>0</v>
      </c>
    </row>
    <row r="16" spans="1:9" x14ac:dyDescent="0.3">
      <c r="A16" s="1" t="s">
        <v>50</v>
      </c>
      <c r="B16" t="s">
        <v>31</v>
      </c>
      <c r="C16">
        <v>0.83709999999999996</v>
      </c>
      <c r="D16">
        <v>1.0230999999999999</v>
      </c>
      <c r="E16">
        <v>2.4903864458404769E-4</v>
      </c>
      <c r="F16">
        <v>-0.83699999999999997</v>
      </c>
      <c r="G16" t="s">
        <v>11</v>
      </c>
      <c r="H16" t="s">
        <v>11</v>
      </c>
      <c r="I16">
        <v>0</v>
      </c>
    </row>
    <row r="17" spans="1:9" x14ac:dyDescent="0.3">
      <c r="A17" s="1" t="s">
        <v>51</v>
      </c>
      <c r="B17" t="s">
        <v>31</v>
      </c>
      <c r="C17">
        <v>0.98760000000000003</v>
      </c>
      <c r="D17">
        <v>1.0222</v>
      </c>
      <c r="E17">
        <v>2.3772130211307781E-4</v>
      </c>
      <c r="F17">
        <v>-0.9839</v>
      </c>
      <c r="G17" t="s">
        <v>11</v>
      </c>
      <c r="H17" t="s">
        <v>11</v>
      </c>
      <c r="I17">
        <v>0</v>
      </c>
    </row>
    <row r="18" spans="1:9" x14ac:dyDescent="0.3">
      <c r="A18" s="1" t="s">
        <v>52</v>
      </c>
      <c r="B18" t="s">
        <v>31</v>
      </c>
      <c r="C18">
        <v>0.34739999999999999</v>
      </c>
      <c r="D18">
        <v>1.0430999999999999</v>
      </c>
      <c r="E18">
        <v>7.2710831905576205E-5</v>
      </c>
      <c r="F18">
        <v>-0.3488</v>
      </c>
      <c r="G18" t="s">
        <v>11</v>
      </c>
      <c r="H18" t="s">
        <v>11</v>
      </c>
      <c r="I18">
        <v>0</v>
      </c>
    </row>
    <row r="19" spans="1:9" x14ac:dyDescent="0.3">
      <c r="A19" s="1" t="s">
        <v>53</v>
      </c>
      <c r="B19" t="s">
        <v>31</v>
      </c>
      <c r="C19">
        <v>0.69869999999999999</v>
      </c>
      <c r="D19">
        <v>1.0410999999999999</v>
      </c>
      <c r="E19">
        <v>-3.7549971444885659E-6</v>
      </c>
      <c r="F19">
        <v>-0.69910000000000005</v>
      </c>
      <c r="G19" t="s">
        <v>11</v>
      </c>
      <c r="H19" t="s">
        <v>11</v>
      </c>
      <c r="I19">
        <v>0</v>
      </c>
    </row>
    <row r="20" spans="1:9" x14ac:dyDescent="0.3">
      <c r="A20" s="1" t="s">
        <v>54</v>
      </c>
      <c r="B20" t="s">
        <v>31</v>
      </c>
      <c r="C20">
        <v>0.86709999999999998</v>
      </c>
      <c r="D20">
        <v>1.0399</v>
      </c>
      <c r="E20">
        <v>-4.3903483723589033E-5</v>
      </c>
      <c r="F20">
        <v>-0.86990000000000001</v>
      </c>
      <c r="G20" t="s">
        <v>11</v>
      </c>
      <c r="H20" t="s">
        <v>11</v>
      </c>
      <c r="I20">
        <v>0</v>
      </c>
    </row>
    <row r="23" spans="1:9" x14ac:dyDescent="0.3">
      <c r="B23" t="s">
        <v>68</v>
      </c>
      <c r="C23" t="s">
        <v>58</v>
      </c>
      <c r="D23" t="s">
        <v>69</v>
      </c>
      <c r="E23" t="s">
        <v>70</v>
      </c>
      <c r="F23" t="s">
        <v>71</v>
      </c>
      <c r="G23" t="s">
        <v>60</v>
      </c>
    </row>
    <row r="24" spans="1:9" x14ac:dyDescent="0.3">
      <c r="A24" s="6" t="s">
        <v>72</v>
      </c>
      <c r="B24" s="6">
        <f>MAX(C2:C20)</f>
        <v>0.98760000000000003</v>
      </c>
      <c r="C24" s="6" t="str">
        <f>INDEX(Tabla5[Maquina],MATCH(B24,Tabla5[I_max '[pu']],0))</f>
        <v>GFM Nueva Renca cc</v>
      </c>
      <c r="D24" s="6">
        <f>INDEX(Tabla5[I_max en t '[s']],MATCH(B24,Tabla5[I_max '[pu']],0))</f>
        <v>1.0222</v>
      </c>
      <c r="E24" s="6">
        <f>COUNTIF(G2:G20,"Si")</f>
        <v>0</v>
      </c>
      <c r="F24" s="6">
        <f>COUNTIF(H2:H20,"Si")</f>
        <v>0</v>
      </c>
      <c r="G24" s="7">
        <f>AVERAGE(Tabla2[I_max '[pu']])</f>
        <v>0.69192631578947361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1462-93EC-444C-83CC-74FBB3BD9897}">
  <dimension ref="D3:K8"/>
  <sheetViews>
    <sheetView tabSelected="1" workbookViewId="0">
      <selection activeCell="F3" sqref="F3:K3"/>
    </sheetView>
  </sheetViews>
  <sheetFormatPr baseColWidth="10" defaultRowHeight="14.4" x14ac:dyDescent="0.3"/>
  <cols>
    <col min="4" max="4" width="16.109375" bestFit="1" customWidth="1"/>
    <col min="5" max="5" width="24.44140625" bestFit="1" customWidth="1"/>
    <col min="6" max="6" width="19.44140625" bestFit="1" customWidth="1"/>
    <col min="7" max="7" width="19.33203125" bestFit="1" customWidth="1"/>
    <col min="8" max="8" width="12.5546875" bestFit="1" customWidth="1"/>
    <col min="9" max="9" width="25.6640625" bestFit="1" customWidth="1"/>
    <col min="10" max="10" width="22.109375" bestFit="1" customWidth="1"/>
    <col min="11" max="11" width="20.5546875" bestFit="1" customWidth="1"/>
  </cols>
  <sheetData>
    <row r="3" spans="4:11" x14ac:dyDescent="0.3"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4:11" x14ac:dyDescent="0.3">
      <c r="D4" t="s">
        <v>63</v>
      </c>
      <c r="E4" s="4">
        <v>0</v>
      </c>
      <c r="F4" s="4">
        <v>0.9607</v>
      </c>
      <c r="G4" s="4" t="s">
        <v>26</v>
      </c>
      <c r="H4" s="5">
        <v>1.0416000000000001</v>
      </c>
      <c r="I4">
        <v>0.68664736842105267</v>
      </c>
      <c r="J4" s="4">
        <v>0</v>
      </c>
      <c r="K4">
        <v>0</v>
      </c>
    </row>
    <row r="5" spans="4:11" x14ac:dyDescent="0.3">
      <c r="D5" t="s">
        <v>64</v>
      </c>
      <c r="E5" s="4">
        <v>7</v>
      </c>
      <c r="F5" s="4">
        <v>0.96030000000000004</v>
      </c>
      <c r="G5" s="4" t="s">
        <v>26</v>
      </c>
      <c r="H5" s="5">
        <v>1.0416000000000001</v>
      </c>
      <c r="I5">
        <v>0.69192631578947361</v>
      </c>
      <c r="J5" s="4">
        <v>0</v>
      </c>
      <c r="K5">
        <v>0</v>
      </c>
    </row>
    <row r="6" spans="4:11" x14ac:dyDescent="0.3">
      <c r="D6" t="s">
        <v>65</v>
      </c>
      <c r="E6" s="4">
        <v>14</v>
      </c>
      <c r="F6" s="4">
        <v>0.96030000000000004</v>
      </c>
      <c r="G6" s="4" t="s">
        <v>26</v>
      </c>
      <c r="H6" s="5">
        <v>1.0416000000000001</v>
      </c>
      <c r="I6">
        <v>0.69192631578947361</v>
      </c>
      <c r="J6" s="4">
        <v>0</v>
      </c>
      <c r="K6">
        <v>0</v>
      </c>
    </row>
    <row r="7" spans="4:11" x14ac:dyDescent="0.3">
      <c r="D7" t="s">
        <v>66</v>
      </c>
      <c r="E7" s="4">
        <v>21</v>
      </c>
      <c r="F7" s="4">
        <v>0.97829999999999995</v>
      </c>
      <c r="G7" s="4" t="s">
        <v>26</v>
      </c>
      <c r="H7" s="5">
        <v>1.9819</v>
      </c>
      <c r="I7">
        <v>0.69192631578947361</v>
      </c>
      <c r="J7" s="4">
        <v>0</v>
      </c>
      <c r="K7">
        <v>0</v>
      </c>
    </row>
    <row r="8" spans="4:11" x14ac:dyDescent="0.3">
      <c r="D8" t="s">
        <v>67</v>
      </c>
      <c r="E8" s="4">
        <v>28</v>
      </c>
      <c r="F8" s="4">
        <v>0.98760000000000003</v>
      </c>
      <c r="G8" s="4" t="s">
        <v>51</v>
      </c>
      <c r="H8" s="5">
        <v>1.0222</v>
      </c>
      <c r="I8">
        <v>0.69192631578947361</v>
      </c>
      <c r="J8" s="4">
        <v>0</v>
      </c>
      <c r="K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Caso base</vt:lpstr>
      <vt:lpstr>Reemplazo 25%</vt:lpstr>
      <vt:lpstr>Reemplazo 50%</vt:lpstr>
      <vt:lpstr>Reemplazo 75%</vt:lpstr>
      <vt:lpstr>Reemplazo 100%</vt:lpstr>
      <vt:lpstr>Resumen por caso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Alberto Camousseight Palacios (n.camousseight)</dc:creator>
  <cp:lastModifiedBy>Nicolás Alberto Camousseight Palacios (n.camousseight)</cp:lastModifiedBy>
  <dcterms:created xsi:type="dcterms:W3CDTF">2026-06-04T03:25:13Z</dcterms:created>
  <dcterms:modified xsi:type="dcterms:W3CDTF">2026-06-13T23:34:14Z</dcterms:modified>
</cp:coreProperties>
</file>