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amo\Documents\000-Introduccion al trabajo de titulo\datos csv\0-Resultados para el latex\"/>
    </mc:Choice>
  </mc:AlternateContent>
  <xr:revisionPtr revIDLastSave="0" documentId="13_ncr:1_{5E9AB4B1-0998-4D1F-B05E-24C8FA88249C}" xr6:coauthVersionLast="47" xr6:coauthVersionMax="47" xr10:uidLastSave="{00000000-0000-0000-0000-000000000000}"/>
  <bookViews>
    <workbookView xWindow="-120" yWindow="-120" windowWidth="29040" windowHeight="15720" activeTab="5" xr2:uid="{83FF49AA-234B-400A-8063-58EA8567D641}"/>
  </bookViews>
  <sheets>
    <sheet name="Caso base" sheetId="1" r:id="rId1"/>
    <sheet name="reemplazo 25%" sheetId="2" r:id="rId2"/>
    <sheet name="reemplazo 50%" sheetId="3" r:id="rId3"/>
    <sheet name="reemplazo 75%" sheetId="4" r:id="rId4"/>
    <sheet name="reemplazo 100%" sheetId="5" r:id="rId5"/>
    <sheet name="Resumen escenario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5" l="1"/>
  <c r="J7" i="6" a="1"/>
  <c r="J6" i="6" a="1"/>
  <c r="J5" i="6" a="1"/>
  <c r="J4" i="6" a="1"/>
  <c r="L2" i="4"/>
  <c r="L2" i="3"/>
  <c r="L2" i="2"/>
  <c r="L2" i="1"/>
  <c r="I18" i="5" a="1"/>
  <c r="H18" i="5"/>
  <c r="G18" i="5"/>
  <c r="F18" i="5"/>
  <c r="E18" i="5"/>
  <c r="D18" i="5"/>
  <c r="C18" i="5"/>
  <c r="B18" i="5"/>
  <c r="I18" i="4" a="1"/>
  <c r="H18" i="4"/>
  <c r="G18" i="4"/>
  <c r="F18" i="4"/>
  <c r="E18" i="4"/>
  <c r="D18" i="4"/>
  <c r="C18" i="4"/>
  <c r="B18" i="4"/>
  <c r="I18" i="3" a="1"/>
  <c r="H18" i="3"/>
  <c r="G18" i="3"/>
  <c r="F18" i="3"/>
  <c r="E18" i="3"/>
  <c r="D18" i="3"/>
  <c r="C18" i="3"/>
  <c r="B18" i="3"/>
  <c r="I18" i="2" a="1"/>
  <c r="H18" i="2"/>
  <c r="G18" i="2"/>
  <c r="F18" i="2"/>
  <c r="E18" i="2"/>
  <c r="D18" i="2"/>
  <c r="C18" i="2"/>
  <c r="B18" i="2"/>
  <c r="F18" i="1"/>
  <c r="B18" i="1"/>
  <c r="I18" i="1" a="1"/>
  <c r="H18" i="1"/>
  <c r="G18" i="1"/>
  <c r="E18" i="1"/>
  <c r="D18" i="1"/>
  <c r="C18" i="1"/>
  <c r="M2" i="5" l="1"/>
  <c r="J8" i="6" s="1" a="1"/>
  <c r="M2" i="4"/>
  <c r="M2" i="3"/>
  <c r="M2" i="2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<sst xmlns="http://schemas.openxmlformats.org/spreadsheetml/2006/main" count="148" uniqueCount="34">
  <si>
    <t>Barra</t>
  </si>
  <si>
    <t>V_min [pu]</t>
  </si>
  <si>
    <t>V_max [pu]</t>
  </si>
  <si>
    <t>V_mean [pu]</t>
  </si>
  <si>
    <t>f_min [Hz]</t>
  </si>
  <si>
    <t>f_max [Hz]</t>
  </si>
  <si>
    <t>f_nadir [Hz]</t>
  </si>
  <si>
    <t>f_zenith [Hz]</t>
  </si>
  <si>
    <t>ROCOF_max [Hz/s]</t>
  </si>
  <si>
    <t>Maitencillo 220 kV</t>
  </si>
  <si>
    <t>Nehuenco 13.8 kV</t>
  </si>
  <si>
    <t>Paposo 220 kV</t>
  </si>
  <si>
    <t>Renca 110 kV</t>
  </si>
  <si>
    <t>San Isidro I 13.8 kV</t>
  </si>
  <si>
    <t>San Pedro 110 kV</t>
  </si>
  <si>
    <t>Valdivia 220 kV</t>
  </si>
  <si>
    <t>Alto Jahuel 220 kV</t>
  </si>
  <si>
    <t>Charrua 154 kV</t>
  </si>
  <si>
    <t>Charrua 220 kV</t>
  </si>
  <si>
    <t>Concepcion 220 kV</t>
  </si>
  <si>
    <t>Hualpen 154 kV</t>
  </si>
  <si>
    <t>Hualpen 220 kV</t>
  </si>
  <si>
    <t>Las Vegas 110 kV</t>
  </si>
  <si>
    <t>Toro 13.8kV</t>
  </si>
  <si>
    <t>Escenario</t>
  </si>
  <si>
    <t>Barras dentro de banda frecuencia [%]</t>
  </si>
  <si>
    <t>Caso base</t>
  </si>
  <si>
    <t>Reemplazo 25%</t>
  </si>
  <si>
    <t>Reemplazo 50%</t>
  </si>
  <si>
    <t>Reemplazo 75%</t>
  </si>
  <si>
    <t>Reemplazo 100%</t>
  </si>
  <si>
    <t>Total de barras</t>
  </si>
  <si>
    <t>Barras dentro de banda</t>
  </si>
  <si>
    <t>Porcentaje dentro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</si>
</sst>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1" xfId="0" applyFont="1" applyBorder="1" applyAlignment="1">
      <alignment horizontal="center" vertical="top"/>
    </xf>
    <xf numFmtId="9" fontId="0" fillId="0" borderId="0" xfId="1" applyFont="1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8" fontId="0" fillId="0" borderId="0" xfId="0" applyNumberFormat="1" applyAlignment="1">
      <alignment horizontal="center"/>
    </xf>
    <xf numFmtId="168" fontId="0" fillId="0" borderId="0" xfId="1" applyNumberFormat="1" applyFont="1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orcentaje" xfId="1" builtinId="5"/>
  </cellStyles>
  <dxfs count="30">
    <dxf>
      <alignment horizontal="center" vertical="bottom" textRotation="0" wrapText="0" indent="0" justifyLastLine="0" shrinkToFit="0" readingOrder="0"/>
    </dxf>
    <dxf>
      <numFmt numFmtId="168" formatCode="0.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8" formatCode="0.0000"/>
      <alignment horizontal="center" vertical="bottom" textRotation="0" wrapText="0" indent="0" justifyLastLine="0" shrinkToFit="0" readingOrder="0"/>
    </dxf>
    <dxf>
      <numFmt numFmtId="168" formatCode="0.0000"/>
      <alignment horizontal="center" vertical="bottom" textRotation="0" wrapText="0" indent="0" justifyLastLine="0" shrinkToFit="0" readingOrder="0"/>
    </dxf>
    <dxf>
      <numFmt numFmtId="168" formatCode="0.0000"/>
      <alignment horizontal="center" vertical="bottom" textRotation="0" wrapText="0" indent="0" justifyLastLine="0" shrinkToFit="0" readingOrder="0"/>
    </dxf>
    <dxf>
      <numFmt numFmtId="168" formatCode="0.0000"/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555E9-0FA1-48EA-8478-EC8F0329DE99}" name="Tabla2" displayName="Tabla2" ref="A1:I16" totalsRowShown="0" headerRowDxfId="26" headerRowBorderDxfId="28" tableBorderDxfId="29">
  <autoFilter ref="A1:I16" xr:uid="{DCF555E9-0FA1-48EA-8478-EC8F0329DE99}"/>
  <tableColumns count="9">
    <tableColumn id="1" xr3:uid="{008D8778-AF17-4A49-B244-A0F58A87F1DD}" name="Barra" dataDxfId="27"/>
    <tableColumn id="2" xr3:uid="{F65ACDC2-668D-4B28-887A-8647BE99E865}" name="V_min [pu]"/>
    <tableColumn id="3" xr3:uid="{5C562EB6-1DC3-4E2A-A64D-30A4F54A271F}" name="V_max [pu]"/>
    <tableColumn id="4" xr3:uid="{5A73DF27-1990-4CDB-A6C5-64EA88755C81}" name="V_mean [pu]"/>
    <tableColumn id="5" xr3:uid="{B8C20659-782E-4430-80B2-8AA237D4E885}" name="f_min [Hz]"/>
    <tableColumn id="6" xr3:uid="{7B4251F5-57E8-4A08-97E1-F59344DA41AC}" name="f_max [Hz]"/>
    <tableColumn id="7" xr3:uid="{C4AE6452-264A-4753-8CE4-676413018837}" name="f_nadir [Hz]"/>
    <tableColumn id="8" xr3:uid="{F77FAC30-4046-4C67-B10F-C8D8A3A5BDCD}" name="f_zenith [Hz]"/>
    <tableColumn id="9" xr3:uid="{5CE0B119-155C-4D52-9B7B-891F6D26118A}" name="ROCOF_max [Hz/s]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5BA82ED-633C-4A94-8647-E7387B9188F1}" name="Tabla78" displayName="Tabla78" ref="K1:M2" totalsRowShown="0" headerRowCellStyle="Normal" dataCellStyle="Normal">
  <autoFilter ref="K1:M2" xr:uid="{85BA82ED-633C-4A94-8647-E7387B9188F1}"/>
  <tableColumns count="3">
    <tableColumn id="1" xr3:uid="{38B75D38-2631-44EE-BB34-102E6F5E7987}" name="Total de barras" dataCellStyle="Normal"/>
    <tableColumn id="2" xr3:uid="{AE08C074-1CFE-40E6-97FC-8F3D1D3FCF18}" name="Barras dentro de banda" dataCellStyle="Normal">
      <calculatedColumnFormula>COUNTIFS(G2:G16,"&gt;=49,5",H2:H16,"&lt;=50,5")</calculatedColumnFormula>
    </tableColumn>
    <tableColumn id="3" xr3:uid="{9B40BDF5-FB00-4B2A-845B-6F2038BD0FD5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381C9C-EEA0-46B6-9F44-83B920E6BD6E}" name="Tabla3" displayName="Tabla3" ref="A1:I16" totalsRowShown="0" headerRowDxfId="22" headerRowBorderDxfId="24" tableBorderDxfId="25">
  <autoFilter ref="A1:I16" xr:uid="{F4381C9C-EEA0-46B6-9F44-83B920E6BD6E}"/>
  <tableColumns count="9">
    <tableColumn id="1" xr3:uid="{CD237C2F-B076-45CA-A599-08091EB66568}" name="Barra" dataDxfId="23"/>
    <tableColumn id="2" xr3:uid="{21320412-FB72-433E-A825-D5071566FD71}" name="V_min [pu]"/>
    <tableColumn id="3" xr3:uid="{0B046047-2C25-4D0A-883D-CA11A81332F4}" name="V_max [pu]"/>
    <tableColumn id="4" xr3:uid="{71777B6F-AD2D-43A9-8B8D-7921E83E7318}" name="V_mean [pu]"/>
    <tableColumn id="5" xr3:uid="{13E308E3-7416-439E-A294-E7FF9462CFEB}" name="f_min [Hz]"/>
    <tableColumn id="6" xr3:uid="{24E418BD-C58E-45AC-A339-D2B465BFCDF6}" name="f_max [Hz]"/>
    <tableColumn id="7" xr3:uid="{04AF06A9-DC7C-4DC3-9F87-757D06F59718}" name="f_nadir [Hz]"/>
    <tableColumn id="8" xr3:uid="{83156EF7-D700-4786-9649-56FFE285C3D9}" name="f_zenith [Hz]"/>
    <tableColumn id="9" xr3:uid="{4A2AB6F7-B690-474C-9EE8-78998A73F0CB}" name="ROCOF_max [Hz/s]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98CC8D-5AA5-4B2D-8BDD-A3D6D7677FBA}" name="Tabla789" displayName="Tabla789" ref="K1:M2" totalsRowShown="0" headerRowCellStyle="Normal" dataCellStyle="Normal">
  <autoFilter ref="K1:M2" xr:uid="{A598CC8D-5AA5-4B2D-8BDD-A3D6D7677FBA}"/>
  <tableColumns count="3">
    <tableColumn id="1" xr3:uid="{6833F017-315C-4C70-917F-509887AFC051}" name="Total de barras" dataCellStyle="Normal"/>
    <tableColumn id="2" xr3:uid="{C8408CCE-EE94-4B81-8331-B2923714EA8C}" name="Barras dentro de banda" dataCellStyle="Normal">
      <calculatedColumnFormula>COUNTIFS(G2:G16,"&gt;=49,5",H2:H16,"&lt;=50,5")</calculatedColumnFormula>
    </tableColumn>
    <tableColumn id="3" xr3:uid="{711B0E57-3C73-405B-ABAF-9BC3D23BC57F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72A526-96F9-442B-9030-0CD11586E6A1}" name="Tabla4" displayName="Tabla4" ref="A1:I16" totalsRowShown="0" headerRowDxfId="18" headerRowBorderDxfId="20" tableBorderDxfId="21">
  <autoFilter ref="A1:I16" xr:uid="{E972A526-96F9-442B-9030-0CD11586E6A1}"/>
  <tableColumns count="9">
    <tableColumn id="1" xr3:uid="{C42B2EB8-D0EE-4139-91EC-912F1DF1C9E9}" name="Barra" dataDxfId="19"/>
    <tableColumn id="2" xr3:uid="{AF760151-38E0-43DA-A140-5CF381C339F4}" name="V_min [pu]"/>
    <tableColumn id="3" xr3:uid="{8C607F68-D1A8-40F6-BFCD-15DEFA4A12E3}" name="V_max [pu]"/>
    <tableColumn id="4" xr3:uid="{DB9A0127-2098-4BC5-82ED-90146163D3A4}" name="V_mean [pu]"/>
    <tableColumn id="5" xr3:uid="{430B9C64-0BE9-4B2F-B788-45ABC51D0BB7}" name="f_min [Hz]"/>
    <tableColumn id="6" xr3:uid="{802D3A1B-7110-4964-B27F-BBC9CDFDFB53}" name="f_max [Hz]"/>
    <tableColumn id="7" xr3:uid="{7778E2F8-6141-4D0E-B9CD-129AD8DE6B78}" name="f_nadir [Hz]"/>
    <tableColumn id="8" xr3:uid="{58086960-AD16-45A8-8EC5-451BC54608E8}" name="f_zenith [Hz]"/>
    <tableColumn id="9" xr3:uid="{A2948FDB-A376-4C74-A874-5EFB333763E3}" name="ROCOF_max [Hz/s]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DA9E5DC-6D28-4490-96DB-CEFC5B134725}" name="Tabla78910" displayName="Tabla78910" ref="K1:M2" totalsRowShown="0" headerRowCellStyle="Normal" dataCellStyle="Normal">
  <autoFilter ref="K1:M2" xr:uid="{1DA9E5DC-6D28-4490-96DB-CEFC5B134725}"/>
  <tableColumns count="3">
    <tableColumn id="1" xr3:uid="{C34E643E-C736-4371-81D8-52786A4E4C41}" name="Total de barras" dataCellStyle="Normal"/>
    <tableColumn id="2" xr3:uid="{20B7E31D-1971-4590-A291-B2F29EF54F8B}" name="Barras dentro de banda" dataCellStyle="Normal">
      <calculatedColumnFormula>COUNTIFS(G2:G16,"&gt;=49,5",H2:H16,"&lt;=50,5")</calculatedColumnFormula>
    </tableColumn>
    <tableColumn id="3" xr3:uid="{E54D8F3C-CB26-475B-8BC2-2DAF0ABCA358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0FA5AD2-038D-4B57-A881-D2DA556A1C76}" name="Tabla5" displayName="Tabla5" ref="A1:I16" totalsRowShown="0" headerRowDxfId="14" headerRowBorderDxfId="16" tableBorderDxfId="17">
  <autoFilter ref="A1:I16" xr:uid="{90FA5AD2-038D-4B57-A881-D2DA556A1C76}"/>
  <tableColumns count="9">
    <tableColumn id="1" xr3:uid="{0A0C42A4-CD86-4207-A0FC-F50B7BDBA83F}" name="Barra" dataDxfId="15"/>
    <tableColumn id="2" xr3:uid="{FA2BF36E-888A-4679-97F7-1B3771EE8DC8}" name="V_min [pu]"/>
    <tableColumn id="3" xr3:uid="{657BE0EF-0029-4718-80AD-9B7335C8B9F7}" name="V_max [pu]"/>
    <tableColumn id="4" xr3:uid="{756BBA9F-D315-4481-AC7B-A5AFD8954DA3}" name="V_mean [pu]"/>
    <tableColumn id="5" xr3:uid="{62518EE3-7A8E-4B3D-9DDD-9FA886DE0AFD}" name="f_min [Hz]"/>
    <tableColumn id="6" xr3:uid="{93209155-0C73-4D33-BE15-AE5390549F54}" name="f_max [Hz]"/>
    <tableColumn id="7" xr3:uid="{C1875F3E-FE61-4879-8444-FE919EA62427}" name="f_nadir [Hz]"/>
    <tableColumn id="8" xr3:uid="{09E29BBF-1AAC-48F3-81EF-FDD227BAC41D}" name="f_zenith [Hz]"/>
    <tableColumn id="9" xr3:uid="{90CF6E61-0FF4-497F-97DB-7ECF5DA0EF86}" name="ROCOF_max [Hz/s]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56650DD-E49E-43C9-96BE-0D295938DA02}" name="Tabla78911" displayName="Tabla78911" ref="K1:M2" totalsRowShown="0" headerRowCellStyle="Normal" dataCellStyle="Normal">
  <autoFilter ref="K1:M2" xr:uid="{D56650DD-E49E-43C9-96BE-0D295938DA02}"/>
  <tableColumns count="3">
    <tableColumn id="1" xr3:uid="{0E91E3BA-C052-4309-874D-811DFCA0F847}" name="Total de barras" dataCellStyle="Normal"/>
    <tableColumn id="2" xr3:uid="{3B7E9DCC-F380-435F-9C7D-13184F0C2473}" name="Barras dentro de banda" dataCellStyle="Normal">
      <calculatedColumnFormula>COUNTIFS(G2:G16,"&gt;=49,5",H2:H16,"&lt;=50,5")</calculatedColumnFormula>
    </tableColumn>
    <tableColumn id="3" xr3:uid="{2A9BF74B-E13A-4941-A2F3-1EA37D8CDC42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C88CB8-E20C-4888-A95A-D869378A281B}" name="Tabla7" displayName="Tabla7" ref="A1:I16" totalsRowShown="0" headerRowDxfId="10" headerRowBorderDxfId="12" tableBorderDxfId="13">
  <autoFilter ref="A1:I16" xr:uid="{3FC88CB8-E20C-4888-A95A-D869378A281B}"/>
  <tableColumns count="9">
    <tableColumn id="1" xr3:uid="{2FA8E32C-E268-4A6D-A28D-459261BB60BF}" name="Barra" dataDxfId="11"/>
    <tableColumn id="2" xr3:uid="{58852CAE-81A7-4F2B-8238-F51AC6207B5D}" name="V_min [pu]"/>
    <tableColumn id="3" xr3:uid="{75169F34-99C4-48E8-9161-69DDA91D91CB}" name="V_max [pu]"/>
    <tableColumn id="4" xr3:uid="{7B9A0ABD-0FE0-4E21-917D-13F52A341408}" name="V_mean [pu]"/>
    <tableColumn id="5" xr3:uid="{DFE08306-4E48-4475-90A7-F14B1103552D}" name="f_min [Hz]"/>
    <tableColumn id="6" xr3:uid="{E65CFADB-9341-4155-8AB6-8CCDB43768B8}" name="f_max [Hz]"/>
    <tableColumn id="7" xr3:uid="{9062E56C-DE60-4250-A663-010BA8E5BA2F}" name="f_nadir [Hz]"/>
    <tableColumn id="8" xr3:uid="{7A695C72-4A61-4F60-B8D6-A4D7CDC0C2C4}" name="f_zenith [Hz]"/>
    <tableColumn id="9" xr3:uid="{2990E764-AA93-4805-84BB-4CB35CE8A45C}" name="ROCOF_max [Hz/s]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FDFAC53-7D47-438D-805D-E27ED96655B7}" name="Tabla78912" displayName="Tabla78912" ref="K1:M2" totalsRowShown="0" headerRowCellStyle="Normal" dataCellStyle="Normal">
  <autoFilter ref="K1:M2" xr:uid="{FFDFAC53-7D47-438D-805D-E27ED96655B7}"/>
  <tableColumns count="3">
    <tableColumn id="1" xr3:uid="{8E33AB8C-7C88-48F0-9161-C6EA651CAFB6}" name="Total de barras" dataCellStyle="Normal"/>
    <tableColumn id="2" xr3:uid="{8A7D23B7-D4B1-4372-9A29-8219C5EECFB8}" name="Barras dentro de banda" dataCellStyle="Normal">
      <calculatedColumnFormula>COUNTIFS(G2:G16,"&gt;=49,5",H2:H16,"&lt;=50,5")</calculatedColumnFormula>
    </tableColumn>
    <tableColumn id="3" xr3:uid="{5570368E-C3C8-489A-BD79-09BD584702C6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177BE5-B51C-474E-9B25-42961344B041}" name="Tabla6" displayName="Tabla6" ref="C3:J8" totalsRowShown="0" headerRowDxfId="9" headerRowBorderDxfId="7" tableBorderDxfId="8">
  <autoFilter ref="C3:J8" xr:uid="{41177BE5-B51C-474E-9B25-42961344B041}"/>
  <tableColumns count="8">
    <tableColumn id="1" xr3:uid="{68064E9C-9F00-4B2F-99BF-FE3E56315DFC}" name="Escenario"/>
    <tableColumn id="2" xr3:uid="{C3A78BB8-CF21-4AF9-B3FB-42D1E7EDA220}" name="V_min [pu]" dataDxfId="6"/>
    <tableColumn id="3" xr3:uid="{5A5C8B9A-3584-49E7-BADD-B0F79FCC3438}" name="V_max [pu]" dataDxfId="5"/>
    <tableColumn id="4" xr3:uid="{6D08EA2F-85C1-4281-8C80-97616CAA7E90}" name="V_mean [pu]" dataDxfId="4"/>
    <tableColumn id="9" xr3:uid="{FB767F44-3B8B-4C2F-8EEB-A4019D3EFD9A}" name="f_nadir [Hz]" dataDxfId="3"/>
    <tableColumn id="5" xr3:uid="{3A2C3BCF-4B79-49EA-83D1-8F5C1C0DD218}" name="f_zenith [Hz]" dataDxfId="2" dataCellStyle="Porcentaje"/>
    <tableColumn id="6" xr3:uid="{50D4EDC9-3990-4559-A32B-0D4FB252D207}" name="ROCOF_max [Hz/s]" dataDxfId="1"/>
    <tableColumn id="7" xr3:uid="{3CB92293-1295-4739-AB4B-54028A480B97}" name="Barras dentro de banda frecuencia [%]" dataDxfId="0" dataCellStyle="Porcentaje">
      <calculatedColumnFormula array="1">Tabla78[Porcentaje dentro]</calculatedColumnFormula>
    </tableColumn>
  </tableColumns>
  <tableStyleInfo name="TableStyleMedium14" showFirstColumn="1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8A2F-607F-4D33-B29C-EB6B2D659A56}">
  <dimension ref="A1:M18"/>
  <sheetViews>
    <sheetView workbookViewId="0">
      <selection activeCell="B18" sqref="B18:I18"/>
    </sheetView>
  </sheetViews>
  <sheetFormatPr baseColWidth="10" defaultRowHeight="15" x14ac:dyDescent="0.25"/>
  <cols>
    <col min="1" max="1" width="17.5703125" bestFit="1" customWidth="1"/>
    <col min="2" max="2" width="15.42578125" bestFit="1" customWidth="1"/>
    <col min="3" max="3" width="15.7109375" bestFit="1" customWidth="1"/>
    <col min="4" max="4" width="17" bestFit="1" customWidth="1"/>
    <col min="5" max="5" width="14.7109375" bestFit="1" customWidth="1"/>
    <col min="6" max="6" width="15" bestFit="1" customWidth="1"/>
    <col min="7" max="7" width="15.85546875" bestFit="1" customWidth="1"/>
    <col min="8" max="8" width="16.85546875" bestFit="1" customWidth="1"/>
    <col min="9" max="9" width="22.28515625" bestFit="1" customWidth="1"/>
  </cols>
  <sheetData>
    <row r="1" spans="1:13" x14ac:dyDescent="0.25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K1" s="5" t="s">
        <v>31</v>
      </c>
      <c r="L1" s="5" t="s">
        <v>32</v>
      </c>
      <c r="M1" s="5" t="s">
        <v>33</v>
      </c>
    </row>
    <row r="2" spans="1:13" x14ac:dyDescent="0.25">
      <c r="A2" s="8" t="s">
        <v>9</v>
      </c>
      <c r="B2">
        <v>1.0488999999999999</v>
      </c>
      <c r="C2">
        <v>1.0506</v>
      </c>
      <c r="D2">
        <v>1.049751135241856</v>
      </c>
      <c r="E2">
        <v>49.946599999999997</v>
      </c>
      <c r="F2">
        <v>50.011099999999999</v>
      </c>
      <c r="G2">
        <v>49.946599999999997</v>
      </c>
      <c r="H2">
        <v>50.011099999999999</v>
      </c>
      <c r="I2">
        <v>-3.988235294118378E-2</v>
      </c>
      <c r="K2" s="5">
        <v>15</v>
      </c>
      <c r="L2" s="5">
        <f>COUNTIFS(G2:G16,"&gt;=49,5",H2:H16,"&lt;=50,5")</f>
        <v>15</v>
      </c>
      <c r="M2" s="7">
        <f>L2/K2</f>
        <v>1</v>
      </c>
    </row>
    <row r="3" spans="1:13" x14ac:dyDescent="0.25">
      <c r="A3" s="8" t="s">
        <v>10</v>
      </c>
      <c r="B3">
        <v>1.0078</v>
      </c>
      <c r="C3">
        <v>1.01</v>
      </c>
      <c r="D3">
        <v>1.0093385982231</v>
      </c>
      <c r="E3">
        <v>49.951000000000001</v>
      </c>
      <c r="F3">
        <v>50.009700000000002</v>
      </c>
      <c r="G3">
        <v>49.951000000000001</v>
      </c>
      <c r="H3">
        <v>50.009700000000002</v>
      </c>
      <c r="I3">
        <v>-4.1192849272418459E-2</v>
      </c>
    </row>
    <row r="4" spans="1:13" x14ac:dyDescent="0.25">
      <c r="A4" s="8" t="s">
        <v>11</v>
      </c>
      <c r="B4">
        <v>1.0389999999999999</v>
      </c>
      <c r="C4">
        <v>1.04</v>
      </c>
      <c r="D4">
        <v>1.039600592300099</v>
      </c>
      <c r="E4">
        <v>49.943199999999997</v>
      </c>
      <c r="F4">
        <v>50.0122</v>
      </c>
      <c r="G4">
        <v>49.943199999999997</v>
      </c>
      <c r="H4">
        <v>50.0122</v>
      </c>
      <c r="I4">
        <v>-5.5153846153845859E-2</v>
      </c>
    </row>
    <row r="5" spans="1:13" x14ac:dyDescent="0.25">
      <c r="A5" s="8" t="s">
        <v>12</v>
      </c>
      <c r="B5">
        <v>1.0175000000000001</v>
      </c>
      <c r="C5">
        <v>1.0202</v>
      </c>
      <c r="D5">
        <v>1.0194549851924981</v>
      </c>
      <c r="E5">
        <v>49.9512</v>
      </c>
      <c r="F5">
        <v>50.009599999999999</v>
      </c>
      <c r="G5">
        <v>49.9512</v>
      </c>
      <c r="H5">
        <v>50.009599999999999</v>
      </c>
      <c r="I5">
        <v>-3.030045248869544E-2</v>
      </c>
    </row>
    <row r="6" spans="1:13" x14ac:dyDescent="0.25">
      <c r="A6" s="8" t="s">
        <v>13</v>
      </c>
      <c r="B6">
        <v>1.038</v>
      </c>
      <c r="C6">
        <v>1.0401</v>
      </c>
      <c r="D6">
        <v>1.039495755182626</v>
      </c>
      <c r="E6">
        <v>49.951099999999997</v>
      </c>
      <c r="F6">
        <v>50.009700000000002</v>
      </c>
      <c r="G6">
        <v>49.951099999999997</v>
      </c>
      <c r="H6">
        <v>50.009700000000002</v>
      </c>
      <c r="I6">
        <v>-4.1920463266796902E-2</v>
      </c>
    </row>
    <row r="7" spans="1:13" x14ac:dyDescent="0.25">
      <c r="A7" s="8" t="s">
        <v>14</v>
      </c>
      <c r="B7">
        <v>1.0077</v>
      </c>
      <c r="C7">
        <v>1.01</v>
      </c>
      <c r="D7">
        <v>1.0091461994077</v>
      </c>
      <c r="E7">
        <v>49.951099999999997</v>
      </c>
      <c r="F7">
        <v>50.009700000000002</v>
      </c>
      <c r="G7">
        <v>49.951099999999997</v>
      </c>
      <c r="H7">
        <v>50.009700000000002</v>
      </c>
      <c r="I7">
        <v>-3.8630384683852367E-2</v>
      </c>
    </row>
    <row r="8" spans="1:13" x14ac:dyDescent="0.25">
      <c r="A8" s="8" t="s">
        <v>15</v>
      </c>
      <c r="B8">
        <v>1.0224</v>
      </c>
      <c r="C8">
        <v>1.0232000000000001</v>
      </c>
      <c r="D8">
        <v>1.022748864758144</v>
      </c>
      <c r="E8">
        <v>49.950800000000001</v>
      </c>
      <c r="F8">
        <v>50.009599999999999</v>
      </c>
      <c r="G8">
        <v>49.950800000000001</v>
      </c>
      <c r="H8">
        <v>50.009599999999999</v>
      </c>
      <c r="I8">
        <v>-3.3252488687788399E-2</v>
      </c>
    </row>
    <row r="9" spans="1:13" x14ac:dyDescent="0.25">
      <c r="A9" s="8" t="s">
        <v>16</v>
      </c>
      <c r="B9">
        <v>0.98870000000000002</v>
      </c>
      <c r="C9">
        <v>0.99229999999999996</v>
      </c>
      <c r="D9">
        <v>0.99062843040473847</v>
      </c>
      <c r="E9">
        <v>49.951300000000003</v>
      </c>
      <c r="F9">
        <v>50.009500000000003</v>
      </c>
      <c r="G9">
        <v>49.951300000000003</v>
      </c>
      <c r="H9">
        <v>50.009500000000003</v>
      </c>
      <c r="I9">
        <v>-2.8625339366522132E-2</v>
      </c>
    </row>
    <row r="10" spans="1:13" x14ac:dyDescent="0.25">
      <c r="A10" s="8" t="s">
        <v>17</v>
      </c>
      <c r="B10">
        <v>1.0283</v>
      </c>
      <c r="C10">
        <v>1.0303</v>
      </c>
      <c r="D10">
        <v>1.0296716683119449</v>
      </c>
      <c r="E10">
        <v>49.9512</v>
      </c>
      <c r="F10">
        <v>50.009300000000003</v>
      </c>
      <c r="G10">
        <v>49.9512</v>
      </c>
      <c r="H10">
        <v>50.009300000000003</v>
      </c>
      <c r="I10">
        <v>-2.9867873303199191E-2</v>
      </c>
    </row>
    <row r="11" spans="1:13" x14ac:dyDescent="0.25">
      <c r="A11" s="8" t="s">
        <v>18</v>
      </c>
      <c r="B11">
        <v>1.0328999999999999</v>
      </c>
      <c r="C11">
        <v>1.0350999999999999</v>
      </c>
      <c r="D11">
        <v>1.0343898321816389</v>
      </c>
      <c r="E11">
        <v>49.9512</v>
      </c>
      <c r="F11">
        <v>50.009300000000003</v>
      </c>
      <c r="G11">
        <v>49.9512</v>
      </c>
      <c r="H11">
        <v>50.009300000000003</v>
      </c>
      <c r="I11">
        <v>-2.9694117647050929E-2</v>
      </c>
    </row>
    <row r="12" spans="1:13" x14ac:dyDescent="0.25">
      <c r="A12" s="8" t="s">
        <v>19</v>
      </c>
      <c r="B12">
        <v>0.95509999999999995</v>
      </c>
      <c r="C12">
        <v>0.95679999999999998</v>
      </c>
      <c r="D12">
        <v>0.95619091806515299</v>
      </c>
      <c r="E12">
        <v>49.9512</v>
      </c>
      <c r="F12">
        <v>50.009399999999999</v>
      </c>
      <c r="G12">
        <v>49.9512</v>
      </c>
      <c r="H12">
        <v>50.009399999999999</v>
      </c>
      <c r="I12">
        <v>-2.994660633485028E-2</v>
      </c>
    </row>
    <row r="13" spans="1:13" x14ac:dyDescent="0.25">
      <c r="A13" s="8" t="s">
        <v>20</v>
      </c>
      <c r="B13">
        <v>0.97899999999999998</v>
      </c>
      <c r="C13">
        <v>0.98040000000000005</v>
      </c>
      <c r="D13">
        <v>0.9798852912142153</v>
      </c>
      <c r="E13">
        <v>49.9512</v>
      </c>
      <c r="F13">
        <v>50.009399999999999</v>
      </c>
      <c r="G13">
        <v>49.9512</v>
      </c>
      <c r="H13">
        <v>50.009399999999999</v>
      </c>
      <c r="I13">
        <v>-3.0284162895951709E-2</v>
      </c>
    </row>
    <row r="14" spans="1:13" x14ac:dyDescent="0.25">
      <c r="A14" s="8" t="s">
        <v>21</v>
      </c>
      <c r="B14">
        <v>0.9889</v>
      </c>
      <c r="C14">
        <v>0.99039999999999995</v>
      </c>
      <c r="D14">
        <v>0.98985597235932876</v>
      </c>
      <c r="E14">
        <v>49.9512</v>
      </c>
      <c r="F14">
        <v>50.009399999999999</v>
      </c>
      <c r="G14">
        <v>49.9512</v>
      </c>
      <c r="H14">
        <v>50.009399999999999</v>
      </c>
      <c r="I14">
        <v>-3.0267873303186719E-2</v>
      </c>
    </row>
    <row r="15" spans="1:13" x14ac:dyDescent="0.25">
      <c r="A15" s="8" t="s">
        <v>22</v>
      </c>
      <c r="B15">
        <v>0.99690000000000001</v>
      </c>
      <c r="C15">
        <v>0.99890000000000001</v>
      </c>
      <c r="D15">
        <v>0.9983879565646594</v>
      </c>
      <c r="E15">
        <v>49.951099999999997</v>
      </c>
      <c r="F15">
        <v>50.009700000000002</v>
      </c>
      <c r="G15">
        <v>49.951099999999997</v>
      </c>
      <c r="H15">
        <v>50.009700000000002</v>
      </c>
      <c r="I15">
        <v>-3.5658086194559492E-2</v>
      </c>
    </row>
    <row r="16" spans="1:13" x14ac:dyDescent="0.25">
      <c r="A16" s="8" t="s">
        <v>23</v>
      </c>
      <c r="B16">
        <v>1.0469999999999999</v>
      </c>
      <c r="C16">
        <v>1.0482</v>
      </c>
      <c r="D16">
        <v>1.047826850937809</v>
      </c>
      <c r="E16">
        <v>49.9512</v>
      </c>
      <c r="F16">
        <v>50.009399999999999</v>
      </c>
      <c r="G16">
        <v>49.9512</v>
      </c>
      <c r="H16">
        <v>50.009399999999999</v>
      </c>
      <c r="I16">
        <v>-3.3148416289592489E-2</v>
      </c>
    </row>
    <row r="18" spans="2:9" x14ac:dyDescent="0.25">
      <c r="B18" s="1">
        <f>MIN(B2:B16)</f>
        <v>0.95509999999999995</v>
      </c>
      <c r="C18" s="1">
        <f>MAX(C2:C16)</f>
        <v>1.0506</v>
      </c>
      <c r="D18" s="1">
        <f t="shared" ref="D18" si="0">AVERAGE(D2:D16)</f>
        <v>1.0144248700230341</v>
      </c>
      <c r="E18" s="1">
        <f>MIN(E2:E16)</f>
        <v>49.943199999999997</v>
      </c>
      <c r="F18" s="1">
        <f>MAX(F2:F16)</f>
        <v>50.0122</v>
      </c>
      <c r="G18" s="1">
        <f>MIN(G2:G16)</f>
        <v>49.943199999999997</v>
      </c>
      <c r="H18" s="1">
        <f>MAX(H2:H16)</f>
        <v>50.0122</v>
      </c>
      <c r="I18" s="1" cm="1">
        <f t="array" ref="I18">_xlfn.XLOOKUP(MAX(ABS(I2:I16)),ABS(I2:I16),I2:I16)</f>
        <v>-5.5153846153845859E-2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5B5E6-B8C4-4485-BD68-BF6679A6B52E}">
  <dimension ref="A1:M18"/>
  <sheetViews>
    <sheetView workbookViewId="0">
      <selection activeCell="B18" sqref="B18:I18"/>
    </sheetView>
  </sheetViews>
  <sheetFormatPr baseColWidth="10" defaultRowHeight="15" x14ac:dyDescent="0.25"/>
  <cols>
    <col min="1" max="1" width="17.5703125" bestFit="1" customWidth="1"/>
    <col min="2" max="2" width="15.42578125" bestFit="1" customWidth="1"/>
    <col min="3" max="3" width="15.7109375" bestFit="1" customWidth="1"/>
    <col min="4" max="4" width="17" bestFit="1" customWidth="1"/>
    <col min="5" max="5" width="14.7109375" bestFit="1" customWidth="1"/>
    <col min="6" max="6" width="15" bestFit="1" customWidth="1"/>
    <col min="7" max="7" width="15.85546875" bestFit="1" customWidth="1"/>
    <col min="8" max="8" width="16.85546875" bestFit="1" customWidth="1"/>
    <col min="9" max="9" width="22.28515625" bestFit="1" customWidth="1"/>
  </cols>
  <sheetData>
    <row r="1" spans="1:13" x14ac:dyDescent="0.25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K1" s="5" t="s">
        <v>31</v>
      </c>
      <c r="L1" s="5" t="s">
        <v>32</v>
      </c>
      <c r="M1" s="5" t="s">
        <v>33</v>
      </c>
    </row>
    <row r="2" spans="1:13" x14ac:dyDescent="0.25">
      <c r="A2" s="8" t="s">
        <v>9</v>
      </c>
      <c r="B2" s="2">
        <v>1.0489999999999999</v>
      </c>
      <c r="C2" s="2">
        <v>1.0506</v>
      </c>
      <c r="D2" s="2">
        <v>1.0497740375123401</v>
      </c>
      <c r="E2" s="2">
        <v>49.9666</v>
      </c>
      <c r="F2" s="2">
        <v>50</v>
      </c>
      <c r="G2" s="2">
        <v>49.9666</v>
      </c>
      <c r="H2" s="2">
        <v>50</v>
      </c>
      <c r="I2" s="2">
        <v>-2.8091340817248522E-2</v>
      </c>
      <c r="K2" s="5">
        <v>15</v>
      </c>
      <c r="L2" s="5">
        <f>COUNTIFS(G2:G16,"&gt;=49,5",H2:H16,"&lt;=50,5")</f>
        <v>15</v>
      </c>
      <c r="M2" s="7">
        <f>L2/K2</f>
        <v>1</v>
      </c>
    </row>
    <row r="3" spans="1:13" x14ac:dyDescent="0.25">
      <c r="A3" s="8" t="s">
        <v>10</v>
      </c>
      <c r="B3" s="2">
        <v>1.0078</v>
      </c>
      <c r="C3" s="2">
        <v>1.01</v>
      </c>
      <c r="D3" s="2">
        <v>1.009362388943732</v>
      </c>
      <c r="E3" s="2">
        <v>49.971600000000002</v>
      </c>
      <c r="F3" s="2">
        <v>50</v>
      </c>
      <c r="G3" s="2">
        <v>49.971600000000002</v>
      </c>
      <c r="H3" s="2">
        <v>50</v>
      </c>
      <c r="I3" s="2">
        <v>-4.1192849272418459E-2</v>
      </c>
    </row>
    <row r="4" spans="1:13" x14ac:dyDescent="0.25">
      <c r="A4" s="8" t="s">
        <v>11</v>
      </c>
      <c r="B4" s="2">
        <v>1.0392999999999999</v>
      </c>
      <c r="C4" s="2">
        <v>1.0401</v>
      </c>
      <c r="D4" s="2">
        <v>1.0396876604146099</v>
      </c>
      <c r="E4" s="2">
        <v>49.9634</v>
      </c>
      <c r="F4" s="2">
        <v>50</v>
      </c>
      <c r="G4" s="2">
        <v>49.9634</v>
      </c>
      <c r="H4" s="2">
        <v>50</v>
      </c>
      <c r="I4" s="2">
        <v>-4.0484162895945447E-2</v>
      </c>
    </row>
    <row r="5" spans="1:13" x14ac:dyDescent="0.25">
      <c r="A5" s="8" t="s">
        <v>12</v>
      </c>
      <c r="B5" s="2">
        <v>1.0175000000000001</v>
      </c>
      <c r="C5" s="2">
        <v>1.02</v>
      </c>
      <c r="D5" s="2">
        <v>1.019402665350444</v>
      </c>
      <c r="E5" s="2">
        <v>49.971899999999998</v>
      </c>
      <c r="F5" s="2">
        <v>50</v>
      </c>
      <c r="G5" s="2">
        <v>49.971899999999998</v>
      </c>
      <c r="H5" s="2">
        <v>50</v>
      </c>
      <c r="I5" s="2">
        <v>-2.760181714231057E-2</v>
      </c>
    </row>
    <row r="6" spans="1:13" x14ac:dyDescent="0.25">
      <c r="A6" s="8" t="s">
        <v>13</v>
      </c>
      <c r="B6" s="2">
        <v>1.038</v>
      </c>
      <c r="C6" s="2">
        <v>1.04</v>
      </c>
      <c r="D6" s="2">
        <v>1.039510957551826</v>
      </c>
      <c r="E6" s="2">
        <v>49.971699999999998</v>
      </c>
      <c r="F6" s="2">
        <v>50</v>
      </c>
      <c r="G6" s="2">
        <v>49.971699999999998</v>
      </c>
      <c r="H6" s="2">
        <v>50</v>
      </c>
      <c r="I6" s="2">
        <v>-4.1920463266796902E-2</v>
      </c>
    </row>
    <row r="7" spans="1:13" x14ac:dyDescent="0.25">
      <c r="A7" s="8" t="s">
        <v>14</v>
      </c>
      <c r="B7" s="2">
        <v>1.0077</v>
      </c>
      <c r="C7" s="2">
        <v>1.01</v>
      </c>
      <c r="D7" s="2">
        <v>1.009137808489635</v>
      </c>
      <c r="E7" s="2">
        <v>49.971699999999998</v>
      </c>
      <c r="F7" s="2">
        <v>50</v>
      </c>
      <c r="G7" s="2">
        <v>49.971699999999998</v>
      </c>
      <c r="H7" s="2">
        <v>50</v>
      </c>
      <c r="I7" s="2">
        <v>-3.8502475926123769E-2</v>
      </c>
    </row>
    <row r="8" spans="1:13" x14ac:dyDescent="0.25">
      <c r="A8" s="8" t="s">
        <v>15</v>
      </c>
      <c r="B8" s="2">
        <v>1.0224</v>
      </c>
      <c r="C8" s="2">
        <v>1.0229999999999999</v>
      </c>
      <c r="D8" s="2">
        <v>1.022733662388944</v>
      </c>
      <c r="E8" s="2">
        <v>49.971299999999999</v>
      </c>
      <c r="F8" s="2">
        <v>50</v>
      </c>
      <c r="G8" s="2">
        <v>49.971299999999999</v>
      </c>
      <c r="H8" s="2">
        <v>50</v>
      </c>
      <c r="I8" s="2">
        <v>-2.715475113123696E-2</v>
      </c>
    </row>
    <row r="9" spans="1:13" x14ac:dyDescent="0.25">
      <c r="A9" s="8" t="s">
        <v>16</v>
      </c>
      <c r="B9" s="2">
        <v>0.98860000000000003</v>
      </c>
      <c r="C9" s="2">
        <v>0.99229999999999996</v>
      </c>
      <c r="D9" s="2">
        <v>0.9904130306021719</v>
      </c>
      <c r="E9" s="2">
        <v>49.971699999999998</v>
      </c>
      <c r="F9" s="2">
        <v>50</v>
      </c>
      <c r="G9" s="2">
        <v>49.971699999999998</v>
      </c>
      <c r="H9" s="2">
        <v>50</v>
      </c>
      <c r="I9" s="2">
        <v>-2.4085316936365252E-2</v>
      </c>
    </row>
    <row r="10" spans="1:13" x14ac:dyDescent="0.25">
      <c r="A10" s="8" t="s">
        <v>17</v>
      </c>
      <c r="B10" s="2">
        <v>1.0281</v>
      </c>
      <c r="C10" s="2">
        <v>1.03</v>
      </c>
      <c r="D10" s="2">
        <v>1.029491510365252</v>
      </c>
      <c r="E10" s="2">
        <v>49.971299999999999</v>
      </c>
      <c r="F10" s="2">
        <v>50</v>
      </c>
      <c r="G10" s="2">
        <v>49.971299999999999</v>
      </c>
      <c r="H10" s="2">
        <v>50</v>
      </c>
      <c r="I10" s="2">
        <v>-2.3823529411767391E-2</v>
      </c>
    </row>
    <row r="11" spans="1:13" x14ac:dyDescent="0.25">
      <c r="A11" s="8" t="s">
        <v>18</v>
      </c>
      <c r="B11" s="2">
        <v>1.0327999999999999</v>
      </c>
      <c r="C11" s="2">
        <v>1.0348999999999999</v>
      </c>
      <c r="D11" s="2">
        <v>1.0342475814412631</v>
      </c>
      <c r="E11" s="2">
        <v>49.971400000000003</v>
      </c>
      <c r="F11" s="2">
        <v>50</v>
      </c>
      <c r="G11" s="2">
        <v>49.971400000000003</v>
      </c>
      <c r="H11" s="2">
        <v>50</v>
      </c>
      <c r="I11" s="2">
        <v>-2.3755656108589731E-2</v>
      </c>
    </row>
    <row r="12" spans="1:13" x14ac:dyDescent="0.25">
      <c r="A12" s="8" t="s">
        <v>19</v>
      </c>
      <c r="B12" s="2">
        <v>0.95499999999999996</v>
      </c>
      <c r="C12" s="2">
        <v>0.95660000000000001</v>
      </c>
      <c r="D12" s="2">
        <v>0.95625607107601185</v>
      </c>
      <c r="E12" s="2">
        <v>49.971299999999999</v>
      </c>
      <c r="F12" s="2">
        <v>50</v>
      </c>
      <c r="G12" s="2">
        <v>49.971299999999999</v>
      </c>
      <c r="H12" s="2">
        <v>50</v>
      </c>
      <c r="I12" s="2">
        <v>-2.37547511312159E-2</v>
      </c>
    </row>
    <row r="13" spans="1:13" x14ac:dyDescent="0.25">
      <c r="A13" s="8" t="s">
        <v>20</v>
      </c>
      <c r="B13" s="2">
        <v>0.97889999999999999</v>
      </c>
      <c r="C13" s="2">
        <v>0.98019999999999996</v>
      </c>
      <c r="D13" s="2">
        <v>0.97981224086870677</v>
      </c>
      <c r="E13" s="2">
        <v>49.971299999999999</v>
      </c>
      <c r="F13" s="2">
        <v>50</v>
      </c>
      <c r="G13" s="2">
        <v>49.971299999999999</v>
      </c>
      <c r="H13" s="2">
        <v>50</v>
      </c>
      <c r="I13" s="2">
        <v>-2.3912217194569828E-2</v>
      </c>
    </row>
    <row r="14" spans="1:13" x14ac:dyDescent="0.25">
      <c r="A14" s="8" t="s">
        <v>21</v>
      </c>
      <c r="B14" s="2">
        <v>0.98880000000000001</v>
      </c>
      <c r="C14" s="2">
        <v>0.99029999999999996</v>
      </c>
      <c r="D14" s="2">
        <v>0.98988637709772953</v>
      </c>
      <c r="E14" s="2">
        <v>49.971299999999999</v>
      </c>
      <c r="F14" s="2">
        <v>50</v>
      </c>
      <c r="G14" s="2">
        <v>49.971299999999999</v>
      </c>
      <c r="H14" s="2">
        <v>50</v>
      </c>
      <c r="I14" s="2">
        <v>-2.3971040723964051E-2</v>
      </c>
    </row>
    <row r="15" spans="1:13" x14ac:dyDescent="0.25">
      <c r="A15" s="8" t="s">
        <v>22</v>
      </c>
      <c r="B15" s="2">
        <v>0.99690000000000001</v>
      </c>
      <c r="C15" s="2">
        <v>0.99880000000000002</v>
      </c>
      <c r="D15" s="2">
        <v>0.99837828232971371</v>
      </c>
      <c r="E15" s="2">
        <v>49.971800000000002</v>
      </c>
      <c r="F15" s="2">
        <v>50</v>
      </c>
      <c r="G15" s="2">
        <v>49.971800000000002</v>
      </c>
      <c r="H15" s="2">
        <v>50</v>
      </c>
      <c r="I15" s="2">
        <v>-3.5658086194559492E-2</v>
      </c>
    </row>
    <row r="16" spans="1:13" x14ac:dyDescent="0.25">
      <c r="A16" s="8" t="s">
        <v>23</v>
      </c>
      <c r="B16" s="2">
        <v>1.0469999999999999</v>
      </c>
      <c r="C16" s="2">
        <v>1.0481</v>
      </c>
      <c r="D16" s="2">
        <v>1.047828627838105</v>
      </c>
      <c r="E16" s="2">
        <v>49.9711</v>
      </c>
      <c r="F16" s="2">
        <v>50</v>
      </c>
      <c r="G16" s="2">
        <v>49.9711</v>
      </c>
      <c r="H16" s="2">
        <v>50</v>
      </c>
      <c r="I16" s="2">
        <v>-2.7116742081459429E-2</v>
      </c>
    </row>
    <row r="18" spans="2:9" x14ac:dyDescent="0.25">
      <c r="B18" s="1">
        <f>MIN(B2:B16)</f>
        <v>0.95499999999999996</v>
      </c>
      <c r="C18" s="1">
        <f>MAX(C2:C16)</f>
        <v>1.0506</v>
      </c>
      <c r="D18" s="1">
        <f t="shared" ref="D18" si="0">AVERAGE(D2:D16)</f>
        <v>1.0143948601513659</v>
      </c>
      <c r="E18" s="1">
        <f>MIN(E2:E16)</f>
        <v>49.9634</v>
      </c>
      <c r="F18" s="1">
        <f>MAX(F2:F16)</f>
        <v>50</v>
      </c>
      <c r="G18" s="1">
        <f>MIN(G2:G16)</f>
        <v>49.9634</v>
      </c>
      <c r="H18" s="1">
        <f>MAX(H2:H16)</f>
        <v>50</v>
      </c>
      <c r="I18" s="1" cm="1">
        <f t="array" ref="I18">_xlfn.XLOOKUP(MAX(ABS(I2:I16)),ABS(I2:I16),I2:I16)</f>
        <v>-4.1920463266796902E-2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D197-D43B-4C33-8BF0-625E45395F7D}">
  <dimension ref="A1:M18"/>
  <sheetViews>
    <sheetView workbookViewId="0">
      <selection activeCell="B18" sqref="B18:I18"/>
    </sheetView>
  </sheetViews>
  <sheetFormatPr baseColWidth="10" defaultRowHeight="15" x14ac:dyDescent="0.25"/>
  <cols>
    <col min="1" max="1" width="17.5703125" bestFit="1" customWidth="1"/>
    <col min="2" max="2" width="15.42578125" bestFit="1" customWidth="1"/>
    <col min="3" max="3" width="15.7109375" bestFit="1" customWidth="1"/>
    <col min="4" max="4" width="17" bestFit="1" customWidth="1"/>
    <col min="5" max="5" width="14.7109375" bestFit="1" customWidth="1"/>
    <col min="6" max="6" width="15" bestFit="1" customWidth="1"/>
    <col min="7" max="7" width="15.85546875" bestFit="1" customWidth="1"/>
    <col min="8" max="8" width="16.85546875" bestFit="1" customWidth="1"/>
    <col min="9" max="9" width="22.28515625" bestFit="1" customWidth="1"/>
  </cols>
  <sheetData>
    <row r="1" spans="1:13" x14ac:dyDescent="0.25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K1" s="5" t="s">
        <v>31</v>
      </c>
      <c r="L1" s="5" t="s">
        <v>32</v>
      </c>
      <c r="M1" s="5" t="s">
        <v>33</v>
      </c>
    </row>
    <row r="2" spans="1:13" x14ac:dyDescent="0.25">
      <c r="A2" s="8" t="s">
        <v>9</v>
      </c>
      <c r="B2" s="3">
        <v>0.9889</v>
      </c>
      <c r="C2" s="3">
        <v>0.99229999999999996</v>
      </c>
      <c r="D2" s="3">
        <v>0.9905538993089833</v>
      </c>
      <c r="E2" s="3">
        <v>49.976700000000001</v>
      </c>
      <c r="F2" s="3">
        <v>50</v>
      </c>
      <c r="G2" s="3">
        <v>49.976700000000001</v>
      </c>
      <c r="H2" s="3">
        <v>50</v>
      </c>
      <c r="I2" s="3">
        <v>-2.6778671891007029E-2</v>
      </c>
      <c r="K2" s="5">
        <v>15</v>
      </c>
      <c r="L2" s="5">
        <f>COUNTIFS(G2:G16,"&gt;=49,5",H2:H16,"&lt;=50,5")</f>
        <v>15</v>
      </c>
      <c r="M2" s="7">
        <f>L2/K2</f>
        <v>1</v>
      </c>
    </row>
    <row r="3" spans="1:13" x14ac:dyDescent="0.25">
      <c r="A3" s="8" t="s">
        <v>10</v>
      </c>
      <c r="B3" s="3">
        <v>1.0283</v>
      </c>
      <c r="C3" s="3">
        <v>1.03</v>
      </c>
      <c r="D3" s="3">
        <v>1.0295089832181641</v>
      </c>
      <c r="E3" s="3">
        <v>49.980899999999998</v>
      </c>
      <c r="F3" s="3">
        <v>50</v>
      </c>
      <c r="G3" s="3">
        <v>49.980899999999998</v>
      </c>
      <c r="H3" s="3">
        <v>50</v>
      </c>
      <c r="I3" s="3">
        <v>-4.0265829312007007E-2</v>
      </c>
    </row>
    <row r="4" spans="1:13" x14ac:dyDescent="0.25">
      <c r="A4" s="8" t="s">
        <v>11</v>
      </c>
      <c r="B4" s="3">
        <v>1.0329999999999999</v>
      </c>
      <c r="C4" s="3">
        <v>1.0349999999999999</v>
      </c>
      <c r="D4" s="3">
        <v>1.0343366238894369</v>
      </c>
      <c r="E4" s="3">
        <v>49.974200000000003</v>
      </c>
      <c r="F4" s="3">
        <v>50</v>
      </c>
      <c r="G4" s="3">
        <v>49.974200000000003</v>
      </c>
      <c r="H4" s="3">
        <v>50</v>
      </c>
      <c r="I4" s="3">
        <v>-3.3951131221731053E-2</v>
      </c>
    </row>
    <row r="5" spans="1:13" x14ac:dyDescent="0.25">
      <c r="A5" s="8" t="s">
        <v>12</v>
      </c>
      <c r="B5" s="3">
        <v>0.95520000000000005</v>
      </c>
      <c r="C5" s="3">
        <v>0.95669999999999999</v>
      </c>
      <c r="D5" s="3">
        <v>0.9563973346495559</v>
      </c>
      <c r="E5" s="3">
        <v>49.980899999999998</v>
      </c>
      <c r="F5" s="3">
        <v>50</v>
      </c>
      <c r="G5" s="3">
        <v>49.980899999999998</v>
      </c>
      <c r="H5" s="3">
        <v>50</v>
      </c>
      <c r="I5" s="3">
        <v>-2.6152425074961828E-2</v>
      </c>
    </row>
    <row r="6" spans="1:13" x14ac:dyDescent="0.25">
      <c r="A6" s="8" t="s">
        <v>13</v>
      </c>
      <c r="B6" s="3">
        <v>0.97889999999999999</v>
      </c>
      <c r="C6" s="3">
        <v>0.98</v>
      </c>
      <c r="D6" s="3">
        <v>0.97973721618953602</v>
      </c>
      <c r="E6" s="3">
        <v>49.980899999999998</v>
      </c>
      <c r="F6" s="3">
        <v>50</v>
      </c>
      <c r="G6" s="3">
        <v>49.980899999999998</v>
      </c>
      <c r="H6" s="3">
        <v>50</v>
      </c>
      <c r="I6" s="3">
        <v>-4.1071324392020957E-2</v>
      </c>
    </row>
    <row r="7" spans="1:13" x14ac:dyDescent="0.25">
      <c r="A7" s="8" t="s">
        <v>14</v>
      </c>
      <c r="B7" s="3">
        <v>0.98880000000000001</v>
      </c>
      <c r="C7" s="3">
        <v>0.99</v>
      </c>
      <c r="D7" s="3">
        <v>0.98960266535044406</v>
      </c>
      <c r="E7" s="3">
        <v>49.981000000000002</v>
      </c>
      <c r="F7" s="3">
        <v>50</v>
      </c>
      <c r="G7" s="3">
        <v>49.981000000000002</v>
      </c>
      <c r="H7" s="3">
        <v>50</v>
      </c>
      <c r="I7" s="3">
        <v>-3.6223951900412818E-2</v>
      </c>
    </row>
    <row r="8" spans="1:13" x14ac:dyDescent="0.25">
      <c r="A8" s="8" t="s">
        <v>15</v>
      </c>
      <c r="B8" s="3">
        <v>0.99690000000000001</v>
      </c>
      <c r="C8" s="3">
        <v>0.99870000000000003</v>
      </c>
      <c r="D8" s="3">
        <v>0.99824846989141169</v>
      </c>
      <c r="E8" s="3">
        <v>49.981499999999997</v>
      </c>
      <c r="F8" s="3">
        <v>50</v>
      </c>
      <c r="G8" s="3">
        <v>49.981499999999997</v>
      </c>
      <c r="H8" s="3">
        <v>50</v>
      </c>
      <c r="I8" s="3">
        <v>-2.2611764705874522E-2</v>
      </c>
    </row>
    <row r="9" spans="1:13" x14ac:dyDescent="0.25">
      <c r="A9" s="8" t="s">
        <v>16</v>
      </c>
      <c r="B9" s="3">
        <v>1.0491999999999999</v>
      </c>
      <c r="C9" s="3">
        <v>1.0505</v>
      </c>
      <c r="D9" s="3">
        <v>1.0498274432379071</v>
      </c>
      <c r="E9" s="3">
        <v>49.980899999999998</v>
      </c>
      <c r="F9" s="3">
        <v>50</v>
      </c>
      <c r="G9" s="3">
        <v>49.980899999999998</v>
      </c>
      <c r="H9" s="3">
        <v>50</v>
      </c>
      <c r="I9" s="3">
        <v>-2.2983689731713448E-2</v>
      </c>
    </row>
    <row r="10" spans="1:13" x14ac:dyDescent="0.25">
      <c r="A10" s="8" t="s">
        <v>17</v>
      </c>
      <c r="B10" s="3">
        <v>1.0079</v>
      </c>
      <c r="C10" s="3">
        <v>1.01</v>
      </c>
      <c r="D10" s="3">
        <v>1.0094067127344519</v>
      </c>
      <c r="E10" s="3">
        <v>49.9818</v>
      </c>
      <c r="F10" s="3">
        <v>50</v>
      </c>
      <c r="G10" s="3">
        <v>49.9818</v>
      </c>
      <c r="H10" s="3">
        <v>50</v>
      </c>
      <c r="I10" s="3">
        <v>-1.9432579185530811E-2</v>
      </c>
    </row>
    <row r="11" spans="1:13" x14ac:dyDescent="0.25">
      <c r="A11" s="8" t="s">
        <v>18</v>
      </c>
      <c r="B11" s="3">
        <v>1.0396000000000001</v>
      </c>
      <c r="C11" s="3">
        <v>1.0401</v>
      </c>
      <c r="D11" s="3">
        <v>1.039771865745311</v>
      </c>
      <c r="E11" s="3">
        <v>49.9818</v>
      </c>
      <c r="F11" s="3">
        <v>50</v>
      </c>
      <c r="G11" s="3">
        <v>49.9818</v>
      </c>
      <c r="H11" s="3">
        <v>50</v>
      </c>
      <c r="I11" s="3">
        <v>-1.9406334841585299E-2</v>
      </c>
    </row>
    <row r="12" spans="1:13" x14ac:dyDescent="0.25">
      <c r="A12" s="8" t="s">
        <v>19</v>
      </c>
      <c r="B12" s="3">
        <v>1.0176000000000001</v>
      </c>
      <c r="C12" s="3">
        <v>1.02</v>
      </c>
      <c r="D12" s="3">
        <v>1.019409279368213</v>
      </c>
      <c r="E12" s="3">
        <v>49.9818</v>
      </c>
      <c r="F12" s="3">
        <v>50</v>
      </c>
      <c r="G12" s="3">
        <v>49.9818</v>
      </c>
      <c r="H12" s="3">
        <v>50</v>
      </c>
      <c r="I12" s="3">
        <v>-1.8999095022615139E-2</v>
      </c>
    </row>
    <row r="13" spans="1:13" x14ac:dyDescent="0.25">
      <c r="A13" s="8" t="s">
        <v>20</v>
      </c>
      <c r="B13" s="3">
        <v>1.0381</v>
      </c>
      <c r="C13" s="3">
        <v>1.04</v>
      </c>
      <c r="D13" s="3">
        <v>1.039542152023692</v>
      </c>
      <c r="E13" s="3">
        <v>49.981699999999996</v>
      </c>
      <c r="F13" s="3">
        <v>50</v>
      </c>
      <c r="G13" s="3">
        <v>49.981699999999996</v>
      </c>
      <c r="H13" s="3">
        <v>50</v>
      </c>
      <c r="I13" s="3">
        <v>-1.8794570135776661E-2</v>
      </c>
    </row>
    <row r="14" spans="1:13" x14ac:dyDescent="0.25">
      <c r="A14" s="8" t="s">
        <v>21</v>
      </c>
      <c r="B14" s="3">
        <v>1.0078</v>
      </c>
      <c r="C14" s="3">
        <v>1.01</v>
      </c>
      <c r="D14" s="3">
        <v>1.0091250740375119</v>
      </c>
      <c r="E14" s="3">
        <v>49.981699999999996</v>
      </c>
      <c r="F14" s="3">
        <v>50</v>
      </c>
      <c r="G14" s="3">
        <v>49.981699999999996</v>
      </c>
      <c r="H14" s="3">
        <v>50</v>
      </c>
      <c r="I14" s="3">
        <v>-1.8706787330293431E-2</v>
      </c>
    </row>
    <row r="15" spans="1:13" x14ac:dyDescent="0.25">
      <c r="A15" s="8" t="s">
        <v>22</v>
      </c>
      <c r="B15" s="3">
        <v>1.0224</v>
      </c>
      <c r="C15" s="3">
        <v>1.0228999999999999</v>
      </c>
      <c r="D15" s="3">
        <v>1.0227363277393879</v>
      </c>
      <c r="E15" s="3">
        <v>49.980899999999998</v>
      </c>
      <c r="F15" s="3">
        <v>50</v>
      </c>
      <c r="G15" s="3">
        <v>49.980899999999998</v>
      </c>
      <c r="H15" s="3">
        <v>50</v>
      </c>
      <c r="I15" s="3">
        <v>-3.1576665922646512E-2</v>
      </c>
    </row>
    <row r="16" spans="1:13" x14ac:dyDescent="0.25">
      <c r="A16" s="8" t="s">
        <v>23</v>
      </c>
      <c r="B16" s="3">
        <v>1.0470999999999999</v>
      </c>
      <c r="C16" s="3">
        <v>1.0481</v>
      </c>
      <c r="D16" s="3">
        <v>1.047856367226061</v>
      </c>
      <c r="E16" s="3">
        <v>49.981499999999997</v>
      </c>
      <c r="F16" s="3">
        <v>50</v>
      </c>
      <c r="G16" s="3">
        <v>49.981499999999997</v>
      </c>
      <c r="H16" s="3">
        <v>50</v>
      </c>
      <c r="I16" s="3">
        <v>-2.2476923076905561E-2</v>
      </c>
    </row>
    <row r="18" spans="2:9" x14ac:dyDescent="0.25">
      <c r="B18" s="1">
        <f>MIN(B2:B16)</f>
        <v>0.95520000000000005</v>
      </c>
      <c r="C18" s="1">
        <f>MAX(C2:C16)</f>
        <v>1.0505</v>
      </c>
      <c r="D18" s="1">
        <f t="shared" ref="D18" si="0">AVERAGE(D2:D16)</f>
        <v>1.0144040276406712</v>
      </c>
      <c r="E18" s="1">
        <f>MIN(E2:E16)</f>
        <v>49.974200000000003</v>
      </c>
      <c r="F18" s="1">
        <f>MAX(F2:F16)</f>
        <v>50</v>
      </c>
      <c r="G18" s="1">
        <f>MIN(G2:G16)</f>
        <v>49.974200000000003</v>
      </c>
      <c r="H18" s="1">
        <f>MAX(H2:H16)</f>
        <v>50</v>
      </c>
      <c r="I18" s="1" cm="1">
        <f t="array" ref="I18">_xlfn.XLOOKUP(MAX(ABS(I2:I16)),ABS(I2:I16),I2:I16)</f>
        <v>-4.1071324392020957E-2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B49F7-7B0E-4531-A6FB-E6CBB6884990}">
  <dimension ref="A1:M18"/>
  <sheetViews>
    <sheetView workbookViewId="0">
      <selection activeCell="B18" sqref="B18:I18"/>
    </sheetView>
  </sheetViews>
  <sheetFormatPr baseColWidth="10" defaultRowHeight="15" x14ac:dyDescent="0.25"/>
  <cols>
    <col min="1" max="1" width="17.5703125" bestFit="1" customWidth="1"/>
    <col min="2" max="2" width="15.42578125" bestFit="1" customWidth="1"/>
    <col min="3" max="3" width="15.7109375" bestFit="1" customWidth="1"/>
    <col min="4" max="4" width="17" bestFit="1" customWidth="1"/>
    <col min="5" max="5" width="14.7109375" bestFit="1" customWidth="1"/>
    <col min="6" max="6" width="15" bestFit="1" customWidth="1"/>
    <col min="7" max="7" width="15.85546875" bestFit="1" customWidth="1"/>
    <col min="8" max="8" width="16.85546875" bestFit="1" customWidth="1"/>
    <col min="9" max="9" width="22.28515625" bestFit="1" customWidth="1"/>
  </cols>
  <sheetData>
    <row r="1" spans="1:13" x14ac:dyDescent="0.25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K1" s="5" t="s">
        <v>31</v>
      </c>
      <c r="L1" s="5" t="s">
        <v>32</v>
      </c>
      <c r="M1" s="5" t="s">
        <v>33</v>
      </c>
    </row>
    <row r="2" spans="1:13" x14ac:dyDescent="0.25">
      <c r="A2" s="8" t="s">
        <v>9</v>
      </c>
      <c r="B2" s="4">
        <v>1.0498000000000001</v>
      </c>
      <c r="C2" s="4">
        <v>1.0510999999999999</v>
      </c>
      <c r="D2" s="4">
        <v>1.050210069101678</v>
      </c>
      <c r="E2" s="4">
        <v>49.990900000000003</v>
      </c>
      <c r="F2" s="4">
        <v>50</v>
      </c>
      <c r="G2" s="4">
        <v>49.990900000000003</v>
      </c>
      <c r="H2" s="4">
        <v>50</v>
      </c>
      <c r="I2" s="4">
        <v>-2.214954933274452E-2</v>
      </c>
      <c r="K2" s="5">
        <v>15</v>
      </c>
      <c r="L2" s="5">
        <f>COUNTIFS(G2:G16,"&gt;=49,5",H2:H16,"&lt;=50,5")</f>
        <v>15</v>
      </c>
      <c r="M2" s="7">
        <f>L2/K2</f>
        <v>1</v>
      </c>
    </row>
    <row r="3" spans="1:13" x14ac:dyDescent="0.25">
      <c r="A3" s="8" t="s">
        <v>10</v>
      </c>
      <c r="B3" s="4">
        <v>1.0079</v>
      </c>
      <c r="C3" s="4">
        <v>1.01</v>
      </c>
      <c r="D3" s="4">
        <v>1.009430009871668</v>
      </c>
      <c r="E3" s="4">
        <v>49.991100000000003</v>
      </c>
      <c r="F3" s="4">
        <v>50</v>
      </c>
      <c r="G3" s="4">
        <v>49.991100000000003</v>
      </c>
      <c r="H3" s="4">
        <v>50</v>
      </c>
      <c r="I3" s="4">
        <v>-3.3363428231573559E-2</v>
      </c>
    </row>
    <row r="4" spans="1:13" x14ac:dyDescent="0.25">
      <c r="A4" s="8" t="s">
        <v>11</v>
      </c>
      <c r="B4" s="4">
        <v>1.0389999999999999</v>
      </c>
      <c r="C4" s="4">
        <v>1.04</v>
      </c>
      <c r="D4" s="4">
        <v>1.039218163869694</v>
      </c>
      <c r="E4" s="4">
        <v>49.992100000000001</v>
      </c>
      <c r="F4" s="4">
        <v>50</v>
      </c>
      <c r="G4" s="4">
        <v>49.992100000000001</v>
      </c>
      <c r="H4" s="4">
        <v>50</v>
      </c>
      <c r="I4" s="4">
        <v>-1.259404131041551E-2</v>
      </c>
    </row>
    <row r="5" spans="1:13" x14ac:dyDescent="0.25">
      <c r="A5" s="8" t="s">
        <v>12</v>
      </c>
      <c r="B5" s="4">
        <v>1.0178</v>
      </c>
      <c r="C5" s="4">
        <v>1.02</v>
      </c>
      <c r="D5" s="4">
        <v>1.0194596248766039</v>
      </c>
      <c r="E5" s="4">
        <v>49.990900000000003</v>
      </c>
      <c r="F5" s="4">
        <v>50</v>
      </c>
      <c r="G5" s="4">
        <v>49.990900000000003</v>
      </c>
      <c r="H5" s="4">
        <v>50</v>
      </c>
      <c r="I5" s="4">
        <v>-2.1041873688471501E-2</v>
      </c>
    </row>
    <row r="6" spans="1:13" x14ac:dyDescent="0.25">
      <c r="A6" s="8" t="s">
        <v>13</v>
      </c>
      <c r="B6" s="4">
        <v>1.0381</v>
      </c>
      <c r="C6" s="4">
        <v>1.04</v>
      </c>
      <c r="D6" s="4">
        <v>1.0395863770977301</v>
      </c>
      <c r="E6" s="4">
        <v>49.991100000000003</v>
      </c>
      <c r="F6" s="4">
        <v>50</v>
      </c>
      <c r="G6" s="4">
        <v>49.991100000000003</v>
      </c>
      <c r="H6" s="4">
        <v>50</v>
      </c>
      <c r="I6" s="4">
        <v>-3.5607559204279007E-2</v>
      </c>
    </row>
    <row r="7" spans="1:13" x14ac:dyDescent="0.25">
      <c r="A7" s="8" t="s">
        <v>14</v>
      </c>
      <c r="B7" s="4">
        <v>1.0078</v>
      </c>
      <c r="C7" s="4">
        <v>1.01</v>
      </c>
      <c r="D7" s="4">
        <v>1.008769693978282</v>
      </c>
      <c r="E7" s="4">
        <v>49.991100000000003</v>
      </c>
      <c r="F7" s="4">
        <v>50</v>
      </c>
      <c r="G7" s="4">
        <v>49.991100000000003</v>
      </c>
      <c r="H7" s="4">
        <v>50</v>
      </c>
      <c r="I7" s="4">
        <v>-2.4879116665655739E-2</v>
      </c>
    </row>
    <row r="8" spans="1:13" x14ac:dyDescent="0.25">
      <c r="A8" s="8" t="s">
        <v>15</v>
      </c>
      <c r="B8" s="4">
        <v>1.0225</v>
      </c>
      <c r="C8" s="4">
        <v>1.0228999999999999</v>
      </c>
      <c r="D8" s="4">
        <v>1.0227623889437321</v>
      </c>
      <c r="E8" s="4">
        <v>49.9895</v>
      </c>
      <c r="F8" s="4">
        <v>50</v>
      </c>
      <c r="G8" s="4">
        <v>49.9895</v>
      </c>
      <c r="H8" s="4">
        <v>50</v>
      </c>
      <c r="I8" s="4">
        <v>-1.3969230769217109E-2</v>
      </c>
    </row>
    <row r="9" spans="1:13" x14ac:dyDescent="0.25">
      <c r="A9" s="8" t="s">
        <v>16</v>
      </c>
      <c r="B9" s="4">
        <v>0.98180000000000001</v>
      </c>
      <c r="C9" s="4">
        <v>0.98499999999999999</v>
      </c>
      <c r="D9" s="4">
        <v>0.9834520236920038</v>
      </c>
      <c r="E9" s="4">
        <v>49.990900000000003</v>
      </c>
      <c r="F9" s="4">
        <v>50</v>
      </c>
      <c r="G9" s="4">
        <v>49.990900000000003</v>
      </c>
      <c r="H9" s="4">
        <v>50</v>
      </c>
      <c r="I9" s="4">
        <v>-1.8513141562877321E-2</v>
      </c>
    </row>
    <row r="10" spans="1:13" x14ac:dyDescent="0.25">
      <c r="A10" s="8" t="s">
        <v>17</v>
      </c>
      <c r="B10" s="4">
        <v>1.0285</v>
      </c>
      <c r="C10" s="4">
        <v>1.03</v>
      </c>
      <c r="D10" s="4">
        <v>1.0296251727541961</v>
      </c>
      <c r="E10" s="4">
        <v>49.990200000000002</v>
      </c>
      <c r="F10" s="4">
        <v>50</v>
      </c>
      <c r="G10" s="4">
        <v>49.990200000000002</v>
      </c>
      <c r="H10" s="4">
        <v>50</v>
      </c>
      <c r="I10" s="4">
        <v>-1.194389140271326E-2</v>
      </c>
    </row>
    <row r="11" spans="1:13" x14ac:dyDescent="0.25">
      <c r="A11" s="8" t="s">
        <v>18</v>
      </c>
      <c r="B11" s="4">
        <v>1.0258</v>
      </c>
      <c r="C11" s="4">
        <v>1.0275000000000001</v>
      </c>
      <c r="D11" s="4">
        <v>1.026997729516288</v>
      </c>
      <c r="E11" s="4">
        <v>49.990200000000002</v>
      </c>
      <c r="F11" s="4">
        <v>50</v>
      </c>
      <c r="G11" s="4">
        <v>49.990200000000002</v>
      </c>
      <c r="H11" s="4">
        <v>50</v>
      </c>
      <c r="I11" s="4">
        <v>-1.201266968325352E-2</v>
      </c>
    </row>
    <row r="12" spans="1:13" x14ac:dyDescent="0.25">
      <c r="A12" s="8" t="s">
        <v>19</v>
      </c>
      <c r="B12" s="4">
        <v>0.95220000000000005</v>
      </c>
      <c r="C12" s="4">
        <v>0.9536</v>
      </c>
      <c r="D12" s="4">
        <v>0.95317097729516309</v>
      </c>
      <c r="E12" s="4">
        <v>49.990499999999997</v>
      </c>
      <c r="F12" s="4">
        <v>50</v>
      </c>
      <c r="G12" s="4">
        <v>49.990499999999997</v>
      </c>
      <c r="H12" s="4">
        <v>50</v>
      </c>
      <c r="I12" s="4">
        <v>-1.134027149317614E-2</v>
      </c>
    </row>
    <row r="13" spans="1:13" x14ac:dyDescent="0.25">
      <c r="A13" s="8" t="s">
        <v>20</v>
      </c>
      <c r="B13" s="4">
        <v>0.97909999999999997</v>
      </c>
      <c r="C13" s="4">
        <v>0.98</v>
      </c>
      <c r="D13" s="4">
        <v>0.97967156959526147</v>
      </c>
      <c r="E13" s="4">
        <v>49.990699999999997</v>
      </c>
      <c r="F13" s="4">
        <v>50</v>
      </c>
      <c r="G13" s="4">
        <v>49.990699999999997</v>
      </c>
      <c r="H13" s="4">
        <v>50</v>
      </c>
      <c r="I13" s="4">
        <v>-1.085882352939376E-2</v>
      </c>
    </row>
    <row r="14" spans="1:13" x14ac:dyDescent="0.25">
      <c r="A14" s="8" t="s">
        <v>21</v>
      </c>
      <c r="B14" s="4">
        <v>0.98909999999999998</v>
      </c>
      <c r="C14" s="4">
        <v>0.99</v>
      </c>
      <c r="D14" s="4">
        <v>0.98973099703849932</v>
      </c>
      <c r="E14" s="4">
        <v>49.990699999999997</v>
      </c>
      <c r="F14" s="4">
        <v>50</v>
      </c>
      <c r="G14" s="4">
        <v>49.990699999999997</v>
      </c>
      <c r="H14" s="4">
        <v>50</v>
      </c>
      <c r="I14" s="4">
        <v>-1.086425339370928E-2</v>
      </c>
    </row>
    <row r="15" spans="1:13" x14ac:dyDescent="0.25">
      <c r="A15" s="8" t="s">
        <v>22</v>
      </c>
      <c r="B15" s="4">
        <v>0.997</v>
      </c>
      <c r="C15" s="4">
        <v>0.99870000000000003</v>
      </c>
      <c r="D15" s="4">
        <v>0.99819062191510388</v>
      </c>
      <c r="E15" s="4">
        <v>49.991100000000003</v>
      </c>
      <c r="F15" s="4">
        <v>50</v>
      </c>
      <c r="G15" s="4">
        <v>49.991100000000003</v>
      </c>
      <c r="H15" s="4">
        <v>50</v>
      </c>
      <c r="I15" s="4">
        <v>-2.2637734221670959E-2</v>
      </c>
    </row>
    <row r="16" spans="1:13" x14ac:dyDescent="0.25">
      <c r="A16" s="8" t="s">
        <v>23</v>
      </c>
      <c r="B16" s="4">
        <v>1.0471999999999999</v>
      </c>
      <c r="C16" s="4">
        <v>1.0482</v>
      </c>
      <c r="D16" s="4">
        <v>1.0478778874629811</v>
      </c>
      <c r="E16" s="4">
        <v>49.989400000000003</v>
      </c>
      <c r="F16" s="4">
        <v>50</v>
      </c>
      <c r="G16" s="4">
        <v>49.989400000000003</v>
      </c>
      <c r="H16" s="4">
        <v>50</v>
      </c>
      <c r="I16" s="4">
        <v>-1.464524886876402E-2</v>
      </c>
    </row>
    <row r="18" spans="2:9" x14ac:dyDescent="0.25">
      <c r="B18" s="1">
        <f>MIN(B2:B16)</f>
        <v>0.95220000000000005</v>
      </c>
      <c r="C18" s="1">
        <f>MAX(C2:C16)</f>
        <v>1.0510999999999999</v>
      </c>
      <c r="D18" s="1">
        <f t="shared" ref="D18" si="0">AVERAGE(D2:D16)</f>
        <v>1.0132102204672588</v>
      </c>
      <c r="E18" s="1">
        <f>MIN(E2:E16)</f>
        <v>49.989400000000003</v>
      </c>
      <c r="F18" s="1">
        <f>MAX(F2:F16)</f>
        <v>50</v>
      </c>
      <c r="G18" s="1">
        <f>MIN(G2:G16)</f>
        <v>49.989400000000003</v>
      </c>
      <c r="H18" s="1">
        <f>MAX(H2:H16)</f>
        <v>50</v>
      </c>
      <c r="I18" s="1" cm="1">
        <f t="array" ref="I18">_xlfn.XLOOKUP(MAX(ABS(I2:I16)),ABS(I2:I16),I2:I16)</f>
        <v>-3.5607559204279007E-2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3F63D-9B34-4CA3-98E7-19BE05B11C58}">
  <dimension ref="A1:M18"/>
  <sheetViews>
    <sheetView workbookViewId="0">
      <selection activeCell="G25" sqref="G25"/>
    </sheetView>
  </sheetViews>
  <sheetFormatPr baseColWidth="10" defaultRowHeight="15" x14ac:dyDescent="0.25"/>
  <cols>
    <col min="1" max="1" width="17.5703125" bestFit="1" customWidth="1"/>
    <col min="2" max="2" width="15.42578125" bestFit="1" customWidth="1"/>
    <col min="3" max="3" width="15.7109375" bestFit="1" customWidth="1"/>
    <col min="4" max="4" width="17" bestFit="1" customWidth="1"/>
    <col min="5" max="5" width="14.7109375" bestFit="1" customWidth="1"/>
    <col min="6" max="6" width="15" bestFit="1" customWidth="1"/>
    <col min="7" max="7" width="15.85546875" bestFit="1" customWidth="1"/>
    <col min="8" max="8" width="16.85546875" bestFit="1" customWidth="1"/>
    <col min="9" max="9" width="22.28515625" bestFit="1" customWidth="1"/>
  </cols>
  <sheetData>
    <row r="1" spans="1:13" x14ac:dyDescent="0.25">
      <c r="A1" s="9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K1" s="5" t="s">
        <v>31</v>
      </c>
      <c r="L1" s="5" t="s">
        <v>32</v>
      </c>
      <c r="M1" s="5" t="s">
        <v>33</v>
      </c>
    </row>
    <row r="2" spans="1:13" x14ac:dyDescent="0.25">
      <c r="A2" s="8" t="s">
        <v>9</v>
      </c>
      <c r="B2" s="5">
        <v>0.9829</v>
      </c>
      <c r="C2" s="5">
        <v>0.98499999999999999</v>
      </c>
      <c r="D2" s="5">
        <v>0.98375074037512356</v>
      </c>
      <c r="E2" s="5">
        <v>49.996699999999997</v>
      </c>
      <c r="F2" s="5">
        <v>50</v>
      </c>
      <c r="G2" s="5">
        <v>49.996699999999997</v>
      </c>
      <c r="H2" s="5">
        <v>50</v>
      </c>
      <c r="I2" s="5">
        <v>-8.6368409763351046E-3</v>
      </c>
      <c r="K2" s="5">
        <v>15</v>
      </c>
      <c r="L2" s="5">
        <f>COUNTIFS(G2:G16,"&gt;=49,5",H2:H16,"&lt;=50,5")</f>
        <v>15</v>
      </c>
      <c r="M2" s="7">
        <f>L2/K2</f>
        <v>1</v>
      </c>
    </row>
    <row r="3" spans="1:13" x14ac:dyDescent="0.25">
      <c r="A3" s="8" t="s">
        <v>10</v>
      </c>
      <c r="B3" s="5">
        <v>1.0291999999999999</v>
      </c>
      <c r="C3" s="5">
        <v>1.0301</v>
      </c>
      <c r="D3" s="5">
        <v>1.0298083909180651</v>
      </c>
      <c r="E3" s="5">
        <v>49.996099999999998</v>
      </c>
      <c r="F3" s="5">
        <v>50</v>
      </c>
      <c r="G3" s="5">
        <v>49.996099999999998</v>
      </c>
      <c r="H3" s="5">
        <v>50</v>
      </c>
      <c r="I3" s="5">
        <v>-1.784198213166098E-2</v>
      </c>
    </row>
    <row r="4" spans="1:13" x14ac:dyDescent="0.25">
      <c r="A4" s="8" t="s">
        <v>11</v>
      </c>
      <c r="B4" s="5">
        <v>1.0266</v>
      </c>
      <c r="C4" s="5">
        <v>1.0275000000000001</v>
      </c>
      <c r="D4" s="5">
        <v>1.027234155972359</v>
      </c>
      <c r="E4" s="5">
        <v>49.9968</v>
      </c>
      <c r="F4" s="5">
        <v>50</v>
      </c>
      <c r="G4" s="5">
        <v>49.9968</v>
      </c>
      <c r="H4" s="5">
        <v>50</v>
      </c>
      <c r="I4" s="5">
        <v>-4.4128684177846874E-3</v>
      </c>
    </row>
    <row r="5" spans="1:13" x14ac:dyDescent="0.25">
      <c r="A5" s="8" t="s">
        <v>12</v>
      </c>
      <c r="B5" s="5">
        <v>0.95269999999999999</v>
      </c>
      <c r="C5" s="5">
        <v>0.95350000000000001</v>
      </c>
      <c r="D5" s="5">
        <v>0.95319081934846994</v>
      </c>
      <c r="E5" s="5">
        <v>49.996299999999998</v>
      </c>
      <c r="F5" s="5">
        <v>50</v>
      </c>
      <c r="G5" s="5">
        <v>49.996299999999998</v>
      </c>
      <c r="H5" s="5">
        <v>50</v>
      </c>
      <c r="I5" s="5">
        <v>-1.201145654015197E-2</v>
      </c>
    </row>
    <row r="6" spans="1:13" x14ac:dyDescent="0.25">
      <c r="A6" s="8" t="s">
        <v>13</v>
      </c>
      <c r="B6" s="5">
        <v>0.97960000000000003</v>
      </c>
      <c r="C6" s="5">
        <v>0.98</v>
      </c>
      <c r="D6" s="5">
        <v>0.97985903257650564</v>
      </c>
      <c r="E6" s="5">
        <v>49.996099999999998</v>
      </c>
      <c r="F6" s="5">
        <v>50</v>
      </c>
      <c r="G6" s="5">
        <v>49.996099999999998</v>
      </c>
      <c r="H6" s="5">
        <v>50</v>
      </c>
      <c r="I6" s="5">
        <v>-1.8982151323991791E-2</v>
      </c>
    </row>
    <row r="7" spans="1:13" x14ac:dyDescent="0.25">
      <c r="A7" s="8" t="s">
        <v>14</v>
      </c>
      <c r="B7" s="5">
        <v>0.98950000000000005</v>
      </c>
      <c r="C7" s="5">
        <v>0.99</v>
      </c>
      <c r="D7" s="5">
        <v>0.98986831194471891</v>
      </c>
      <c r="E7" s="5">
        <v>49.996099999999998</v>
      </c>
      <c r="F7" s="5">
        <v>50</v>
      </c>
      <c r="G7" s="5">
        <v>49.996099999999998</v>
      </c>
      <c r="H7" s="5">
        <v>50</v>
      </c>
      <c r="I7" s="5">
        <v>-1.6608428977901931E-2</v>
      </c>
    </row>
    <row r="8" spans="1:13" x14ac:dyDescent="0.25">
      <c r="A8" s="8" t="s">
        <v>15</v>
      </c>
      <c r="B8" s="5">
        <v>0.99729999999999996</v>
      </c>
      <c r="C8" s="5">
        <v>0.99870000000000003</v>
      </c>
      <c r="D8" s="5">
        <v>0.99814768015794686</v>
      </c>
      <c r="E8" s="5">
        <v>49.995199999999997</v>
      </c>
      <c r="F8" s="5">
        <v>50</v>
      </c>
      <c r="G8" s="5">
        <v>49.995199999999997</v>
      </c>
      <c r="H8" s="5">
        <v>50</v>
      </c>
      <c r="I8" s="5">
        <v>-6.8217194570178467E-3</v>
      </c>
    </row>
    <row r="9" spans="1:13" x14ac:dyDescent="0.25">
      <c r="A9" s="8" t="s">
        <v>16</v>
      </c>
      <c r="B9" s="5">
        <v>1.0498000000000001</v>
      </c>
      <c r="C9" s="5">
        <v>1.0503</v>
      </c>
      <c r="D9" s="5">
        <v>1.0502633761105631</v>
      </c>
      <c r="E9" s="5">
        <v>49.996299999999998</v>
      </c>
      <c r="F9" s="5">
        <v>50</v>
      </c>
      <c r="G9" s="5">
        <v>49.996299999999998</v>
      </c>
      <c r="H9" s="5">
        <v>50</v>
      </c>
      <c r="I9" s="5">
        <v>-1.092529984744429E-2</v>
      </c>
    </row>
    <row r="10" spans="1:13" x14ac:dyDescent="0.25">
      <c r="A10" s="8" t="s">
        <v>17</v>
      </c>
      <c r="B10" s="5">
        <v>1.0079</v>
      </c>
      <c r="C10" s="5">
        <v>1.01</v>
      </c>
      <c r="D10" s="5">
        <v>1.0082384995064171</v>
      </c>
      <c r="E10" s="5">
        <v>49.995600000000003</v>
      </c>
      <c r="F10" s="5">
        <v>50</v>
      </c>
      <c r="G10" s="5">
        <v>49.995600000000003</v>
      </c>
      <c r="H10" s="5">
        <v>50</v>
      </c>
      <c r="I10" s="5">
        <v>-5.8588235294095266E-3</v>
      </c>
    </row>
    <row r="11" spans="1:13" x14ac:dyDescent="0.25">
      <c r="A11" s="8" t="s">
        <v>18</v>
      </c>
      <c r="B11" s="5">
        <v>1.0397000000000001</v>
      </c>
      <c r="C11" s="5">
        <v>1.04</v>
      </c>
      <c r="D11" s="5">
        <v>1.039720039486673</v>
      </c>
      <c r="E11" s="5">
        <v>49.995600000000003</v>
      </c>
      <c r="F11" s="5">
        <v>50</v>
      </c>
      <c r="G11" s="5">
        <v>49.995600000000003</v>
      </c>
      <c r="H11" s="5">
        <v>50</v>
      </c>
      <c r="I11" s="5">
        <v>-5.9004524887102264E-3</v>
      </c>
    </row>
    <row r="12" spans="1:13" x14ac:dyDescent="0.25">
      <c r="A12" s="8" t="s">
        <v>19</v>
      </c>
      <c r="B12" s="5">
        <v>1.0185</v>
      </c>
      <c r="C12" s="5">
        <v>1.02</v>
      </c>
      <c r="D12" s="5">
        <v>1.0190806515301081</v>
      </c>
      <c r="E12" s="5">
        <v>49.995699999999999</v>
      </c>
      <c r="F12" s="5">
        <v>50</v>
      </c>
      <c r="G12" s="5">
        <v>49.995699999999999</v>
      </c>
      <c r="H12" s="5">
        <v>50</v>
      </c>
      <c r="I12" s="5">
        <v>-5.5194570136077861E-3</v>
      </c>
    </row>
    <row r="13" spans="1:13" x14ac:dyDescent="0.25">
      <c r="A13" s="8" t="s">
        <v>20</v>
      </c>
      <c r="B13" s="5">
        <v>1.0377000000000001</v>
      </c>
      <c r="C13" s="5">
        <v>1.04</v>
      </c>
      <c r="D13" s="5">
        <v>1.0381543928923991</v>
      </c>
      <c r="E13" s="5">
        <v>49.995800000000003</v>
      </c>
      <c r="F13" s="5">
        <v>50</v>
      </c>
      <c r="G13" s="5">
        <v>49.995800000000003</v>
      </c>
      <c r="H13" s="5">
        <v>50</v>
      </c>
      <c r="I13" s="5">
        <v>-5.1819004525070819E-3</v>
      </c>
    </row>
    <row r="14" spans="1:13" x14ac:dyDescent="0.25">
      <c r="A14" s="8" t="s">
        <v>21</v>
      </c>
      <c r="B14" s="5">
        <v>1.0082</v>
      </c>
      <c r="C14" s="5">
        <v>1.01</v>
      </c>
      <c r="D14" s="5">
        <v>1.008665153010859</v>
      </c>
      <c r="E14" s="5">
        <v>49.995800000000003</v>
      </c>
      <c r="F14" s="5">
        <v>50</v>
      </c>
      <c r="G14" s="5">
        <v>49.995800000000003</v>
      </c>
      <c r="H14" s="5">
        <v>50</v>
      </c>
      <c r="I14" s="5">
        <v>-5.2343891402465434E-3</v>
      </c>
    </row>
    <row r="15" spans="1:13" x14ac:dyDescent="0.25">
      <c r="A15" s="8" t="s">
        <v>22</v>
      </c>
      <c r="B15" s="5">
        <v>1.0226</v>
      </c>
      <c r="C15" s="5">
        <v>1.0228999999999999</v>
      </c>
      <c r="D15" s="5">
        <v>1.0227861796643629</v>
      </c>
      <c r="E15" s="5">
        <v>49.996200000000002</v>
      </c>
      <c r="F15" s="5">
        <v>50</v>
      </c>
      <c r="G15" s="5">
        <v>49.996200000000002</v>
      </c>
      <c r="H15" s="5">
        <v>50</v>
      </c>
      <c r="I15" s="5">
        <v>-1.5439715638988039E-2</v>
      </c>
    </row>
    <row r="16" spans="1:13" x14ac:dyDescent="0.25">
      <c r="A16" s="8" t="s">
        <v>23</v>
      </c>
      <c r="B16" s="5">
        <v>1.0476000000000001</v>
      </c>
      <c r="C16" s="5">
        <v>1.0482</v>
      </c>
      <c r="D16" s="5">
        <v>1.047960809476802</v>
      </c>
      <c r="E16" s="5">
        <v>49.995100000000001</v>
      </c>
      <c r="F16" s="5">
        <v>50</v>
      </c>
      <c r="G16" s="5">
        <v>49.995100000000001</v>
      </c>
      <c r="H16" s="5">
        <v>50</v>
      </c>
      <c r="I16" s="5">
        <v>-7.1411764705914243E-3</v>
      </c>
    </row>
    <row r="18" spans="2:9" x14ac:dyDescent="0.25">
      <c r="B18" s="1">
        <f>MIN(B2:B16)</f>
        <v>0.95269999999999999</v>
      </c>
      <c r="C18" s="1">
        <f>MAX(C2:C16)</f>
        <v>1.0503</v>
      </c>
      <c r="D18" s="1">
        <f t="shared" ref="D18" si="0">AVERAGE(D2:D16)</f>
        <v>1.0131152155314249</v>
      </c>
      <c r="E18" s="1">
        <f>MIN(E2:E16)</f>
        <v>49.995100000000001</v>
      </c>
      <c r="F18" s="1">
        <f>MAX(F2:F16)</f>
        <v>50</v>
      </c>
      <c r="G18" s="1">
        <f>MIN(G2:G16)</f>
        <v>49.995100000000001</v>
      </c>
      <c r="H18" s="1">
        <f>MAX(H2:H16)</f>
        <v>50</v>
      </c>
      <c r="I18" s="1" cm="1">
        <f t="array" ref="I18">_xlfn.XLOOKUP(MAX(ABS(I2:I16)),ABS(I2:I16),I2:I16)</f>
        <v>-1.8982151323991791E-2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B596-37D3-4006-916F-394D42667B07}">
  <dimension ref="C3:J8"/>
  <sheetViews>
    <sheetView tabSelected="1" workbookViewId="0">
      <selection activeCell="H5" sqref="H5"/>
    </sheetView>
  </sheetViews>
  <sheetFormatPr baseColWidth="10" defaultRowHeight="15" x14ac:dyDescent="0.25"/>
  <cols>
    <col min="3" max="3" width="16.140625" bestFit="1" customWidth="1"/>
    <col min="4" max="4" width="15.42578125" bestFit="1" customWidth="1"/>
    <col min="5" max="5" width="15.7109375" bestFit="1" customWidth="1"/>
    <col min="6" max="6" width="17" bestFit="1" customWidth="1"/>
    <col min="7" max="7" width="22.28515625" bestFit="1" customWidth="1"/>
    <col min="8" max="8" width="16.85546875" bestFit="1" customWidth="1"/>
    <col min="9" max="9" width="22.28515625" bestFit="1" customWidth="1"/>
    <col min="10" max="10" width="39.7109375" bestFit="1" customWidth="1"/>
  </cols>
  <sheetData>
    <row r="3" spans="3:10" x14ac:dyDescent="0.25">
      <c r="C3" s="6" t="s">
        <v>24</v>
      </c>
      <c r="D3" s="6" t="s">
        <v>1</v>
      </c>
      <c r="E3" s="6" t="s">
        <v>2</v>
      </c>
      <c r="F3" s="6" t="s">
        <v>3</v>
      </c>
      <c r="G3" s="6" t="s">
        <v>6</v>
      </c>
      <c r="H3" s="6" t="s">
        <v>7</v>
      </c>
      <c r="I3" s="6" t="s">
        <v>8</v>
      </c>
      <c r="J3" s="6" t="s">
        <v>25</v>
      </c>
    </row>
    <row r="4" spans="3:10" x14ac:dyDescent="0.25">
      <c r="C4" s="5" t="s">
        <v>26</v>
      </c>
      <c r="D4" s="10">
        <v>0.95509999999999995</v>
      </c>
      <c r="E4" s="10">
        <v>1.0506</v>
      </c>
      <c r="F4" s="10">
        <v>1.0144248700230341</v>
      </c>
      <c r="G4" s="10">
        <v>49.943199999999997</v>
      </c>
      <c r="H4" s="10">
        <v>50.0122</v>
      </c>
      <c r="I4" s="10">
        <v>-5.5153846153845859E-2</v>
      </c>
      <c r="J4" s="12" cm="1">
        <f t="array" ref="J4">Tabla78[Porcentaje dentro]</f>
        <v>1</v>
      </c>
    </row>
    <row r="5" spans="3:10" x14ac:dyDescent="0.25">
      <c r="C5" s="5" t="s">
        <v>27</v>
      </c>
      <c r="D5" s="10">
        <v>0.95499999999999996</v>
      </c>
      <c r="E5" s="10">
        <v>1.0506</v>
      </c>
      <c r="F5" s="10">
        <v>1.0143948601513659</v>
      </c>
      <c r="G5" s="10">
        <v>49.9634</v>
      </c>
      <c r="H5" s="11">
        <v>50</v>
      </c>
      <c r="I5" s="10">
        <v>-4.1920463266796902E-2</v>
      </c>
      <c r="J5" s="12" cm="1">
        <f t="array" ref="J5">Tabla789[Porcentaje dentro]</f>
        <v>1</v>
      </c>
    </row>
    <row r="6" spans="3:10" x14ac:dyDescent="0.25">
      <c r="C6" s="5" t="s">
        <v>28</v>
      </c>
      <c r="D6" s="10">
        <v>0.95520000000000005</v>
      </c>
      <c r="E6" s="10">
        <v>1.0505</v>
      </c>
      <c r="F6" s="10">
        <v>1.0144040276406712</v>
      </c>
      <c r="G6" s="10">
        <v>49.974200000000003</v>
      </c>
      <c r="H6" s="10">
        <v>50</v>
      </c>
      <c r="I6" s="10">
        <v>-4.1071324392020957E-2</v>
      </c>
      <c r="J6" s="12" cm="1">
        <f t="array" ref="J6">Tabla78910[Porcentaje dentro]</f>
        <v>1</v>
      </c>
    </row>
    <row r="7" spans="3:10" x14ac:dyDescent="0.25">
      <c r="C7" s="5" t="s">
        <v>29</v>
      </c>
      <c r="D7" s="10">
        <v>0.95220000000000005</v>
      </c>
      <c r="E7" s="10">
        <v>1.0510999999999999</v>
      </c>
      <c r="F7" s="10">
        <v>1.0132102204672588</v>
      </c>
      <c r="G7" s="10">
        <v>49.989400000000003</v>
      </c>
      <c r="H7" s="10">
        <v>50</v>
      </c>
      <c r="I7" s="10">
        <v>-3.5607559204279007E-2</v>
      </c>
      <c r="J7" s="12" cm="1">
        <f t="array" ref="J7">Tabla78911[Porcentaje dentro]</f>
        <v>1</v>
      </c>
    </row>
    <row r="8" spans="3:10" x14ac:dyDescent="0.25">
      <c r="C8" s="5" t="s">
        <v>30</v>
      </c>
      <c r="D8" s="10">
        <v>0.95269999999999999</v>
      </c>
      <c r="E8" s="10">
        <v>1.0503</v>
      </c>
      <c r="F8" s="10">
        <v>1.0131152155314249</v>
      </c>
      <c r="G8" s="10">
        <v>49.995100000000001</v>
      </c>
      <c r="H8" s="10">
        <v>50</v>
      </c>
      <c r="I8" s="10">
        <v>-1.8982151323991791E-2</v>
      </c>
      <c r="J8" s="12" cm="1">
        <f t="array" ref="J8">Tabla78912[Porcentaje dentro]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Caso base</vt:lpstr>
      <vt:lpstr>reemplazo 25%</vt:lpstr>
      <vt:lpstr>reemplazo 50%</vt:lpstr>
      <vt:lpstr>reemplazo 75%</vt:lpstr>
      <vt:lpstr>reemplazo 100%</vt:lpstr>
      <vt:lpstr>Resumen escenarios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Alberto Camousseight Palacios (n.camousseight)</dc:creator>
  <cp:lastModifiedBy>Nicolás Alberto Camousseight Palacios (n.camousseight)</cp:lastModifiedBy>
  <dcterms:created xsi:type="dcterms:W3CDTF">2026-06-12T01:10:32Z</dcterms:created>
  <dcterms:modified xsi:type="dcterms:W3CDTF">2026-06-12T02:08:14Z</dcterms:modified>
</cp:coreProperties>
</file>