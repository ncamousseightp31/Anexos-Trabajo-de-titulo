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8_{8DB49463-3D3A-44A9-89D1-DDDD08172DA7}" xr6:coauthVersionLast="47" xr6:coauthVersionMax="47" xr10:uidLastSave="{00000000-0000-0000-0000-000000000000}"/>
  <bookViews>
    <workbookView xWindow="-120" yWindow="-120" windowWidth="29040" windowHeight="15720" activeTab="5" xr2:uid="{A4D3D9A3-6A13-4341-A11B-561DE6EB708C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Resumen escenari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5" l="1"/>
  <c r="D24" i="5"/>
  <c r="C24" i="5"/>
  <c r="F24" i="5"/>
  <c r="E24" i="5"/>
  <c r="B24" i="5"/>
  <c r="G24" i="4"/>
  <c r="D24" i="4"/>
  <c r="C24" i="4"/>
  <c r="F24" i="4"/>
  <c r="E24" i="4"/>
  <c r="B24" i="4"/>
  <c r="G24" i="3"/>
  <c r="D24" i="3"/>
  <c r="C24" i="3"/>
  <c r="F24" i="3"/>
  <c r="E24" i="3"/>
  <c r="B24" i="3"/>
  <c r="G24" i="2"/>
  <c r="D24" i="2"/>
  <c r="C24" i="2"/>
  <c r="F24" i="2"/>
  <c r="E24" i="2"/>
  <c r="B24" i="2"/>
  <c r="G24" i="1"/>
  <c r="E24" i="1"/>
  <c r="D24" i="1"/>
  <c r="C24" i="1"/>
  <c r="B24" i="1"/>
  <c r="F24" i="1"/>
</calcChain>
</file>

<file path=xl/sharedStrings.xml><?xml version="1.0" encoding="utf-8"?>
<sst xmlns="http://schemas.openxmlformats.org/spreadsheetml/2006/main" count="473" uniqueCount="63">
  <si>
    <t>Maquina</t>
  </si>
  <si>
    <t>Es Inversor</t>
  </si>
  <si>
    <t>I_max [pu]</t>
  </si>
  <si>
    <t>I_max en t [s]</t>
  </si>
  <si>
    <t>I_mean [pu]</t>
  </si>
  <si>
    <t>I_min [pu]</t>
  </si>
  <si>
    <t>Supera limite nominal</t>
  </si>
  <si>
    <t>Supera limite critico</t>
  </si>
  <si>
    <t>Tiempo sobre limite [s]</t>
  </si>
  <si>
    <t>Laja</t>
  </si>
  <si>
    <t>No</t>
  </si>
  <si>
    <t>no</t>
  </si>
  <si>
    <t>Nueva Aldea 2</t>
  </si>
  <si>
    <t>Horcones</t>
  </si>
  <si>
    <t>CholguÃ¡n</t>
  </si>
  <si>
    <t>Nueva Aldea 1</t>
  </si>
  <si>
    <t>CELCO Arauco</t>
  </si>
  <si>
    <t>PSEG</t>
  </si>
  <si>
    <t>Petropower</t>
  </si>
  <si>
    <t>Aconcagua</t>
  </si>
  <si>
    <t>Nehuenco III 9B</t>
  </si>
  <si>
    <t>Ventanas 1</t>
  </si>
  <si>
    <t>Bocamina</t>
  </si>
  <si>
    <t>Taltal I</t>
  </si>
  <si>
    <t>Ventanas 2</t>
  </si>
  <si>
    <t>Guacolda</t>
  </si>
  <si>
    <t>Nueva Renca</t>
  </si>
  <si>
    <t>San Isidro</t>
  </si>
  <si>
    <t>Nehuenco I</t>
  </si>
  <si>
    <t>Nehuenco II</t>
  </si>
  <si>
    <t>GFM Laja</t>
  </si>
  <si>
    <t>Si</t>
  </si>
  <si>
    <t>GFM  Nueva Aldea 2</t>
  </si>
  <si>
    <t>GFM  Horcones</t>
  </si>
  <si>
    <t>GFM  Cholguan</t>
  </si>
  <si>
    <t>GFM  Nueva Aldea 1</t>
  </si>
  <si>
    <t>GFM  CELCO Arauco</t>
  </si>
  <si>
    <t>GFM PSEG</t>
  </si>
  <si>
    <t>GFM Petropower</t>
  </si>
  <si>
    <t>GFM Aconcagua</t>
  </si>
  <si>
    <t>GFM Nehuenco III 9B</t>
  </si>
  <si>
    <t>GFM Ventanas 1</t>
  </si>
  <si>
    <t>GFM Bocamina</t>
  </si>
  <si>
    <t>GFM Taltal I</t>
  </si>
  <si>
    <t>GFM Ventanas 2</t>
  </si>
  <si>
    <t>GFM Guacolda</t>
  </si>
  <si>
    <t>GFM Nueva Renca</t>
  </si>
  <si>
    <t>GFM San Isidro</t>
  </si>
  <si>
    <t>GFM Nehuenco I</t>
  </si>
  <si>
    <t>GFM Nehuenco II</t>
  </si>
  <si>
    <t>I max sistema</t>
  </si>
  <si>
    <t>Equipo asociado</t>
  </si>
  <si>
    <t>t asociado imax</t>
  </si>
  <si>
    <t>supera limite nominal</t>
  </si>
  <si>
    <t>supera limite critico</t>
  </si>
  <si>
    <t>Promedio corriente Imax</t>
  </si>
  <si>
    <t>Escenario</t>
  </si>
  <si>
    <t>Caso base</t>
  </si>
  <si>
    <t>Reemplazo 25%</t>
  </si>
  <si>
    <t>Reemplazo 50%</t>
  </si>
  <si>
    <t>Reemplazo 75%</t>
  </si>
  <si>
    <t>Reemplazo 100%</t>
  </si>
  <si>
    <t>Cantidad de inversores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</si>
</sst>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0" fillId="2" borderId="0" xfId="0" applyFill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97D656-35B5-4885-834E-37EC74EF6F9B}" name="Tabla1" displayName="Tabla1" ref="A1:I20" totalsRowShown="0" headerRowDxfId="18" headerRowBorderDxfId="20" tableBorderDxfId="21">
  <autoFilter ref="A1:I20" xr:uid="{6D97D656-35B5-4885-834E-37EC74EF6F9B}"/>
  <tableColumns count="9">
    <tableColumn id="1" xr3:uid="{8815F58D-11BA-477F-9713-B178693B4B75}" name="Maquina" dataDxfId="19"/>
    <tableColumn id="2" xr3:uid="{4762F2E5-7FE4-464E-8773-899E34D49D4C}" name="Es Inversor"/>
    <tableColumn id="3" xr3:uid="{7E5B4867-DE2D-4DB8-B6AF-F33E3644A0C5}" name="I_max [pu]"/>
    <tableColumn id="4" xr3:uid="{5E74AFDA-0BB3-469F-AE32-874A90947E03}" name="I_max en t [s]"/>
    <tableColumn id="5" xr3:uid="{8EF9EF11-5753-452F-AF44-B0A03F9AABE0}" name="I_mean [pu]"/>
    <tableColumn id="6" xr3:uid="{8D950CF6-D11B-4674-BD1D-6E18D59F0570}" name="I_min [pu]"/>
    <tableColumn id="7" xr3:uid="{40AAB52C-F012-405A-A9E6-E702F6EBF756}" name="Supera limite nominal"/>
    <tableColumn id="8" xr3:uid="{1717DEDC-DE86-428D-97ED-A8D31B72D984}" name="Supera limite critico"/>
    <tableColumn id="9" xr3:uid="{F14CF0BD-2CEC-4C9B-9D6F-DDE879A61D31}" name="Tiempo sobre limite [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488DC3-37DE-4CBC-8AF7-5AB0F8DEC508}" name="Tabla2" displayName="Tabla2" ref="A1:I20" totalsRowShown="0" headerRowDxfId="14" headerRowBorderDxfId="16" tableBorderDxfId="17">
  <autoFilter ref="A1:I20" xr:uid="{46488DC3-37DE-4CBC-8AF7-5AB0F8DEC508}"/>
  <tableColumns count="9">
    <tableColumn id="1" xr3:uid="{E07CFC01-996A-497E-8539-711490A5C37E}" name="Maquina" dataDxfId="15"/>
    <tableColumn id="2" xr3:uid="{E7D88FC7-9206-42E8-8113-6587DD9CB81A}" name="Es Inversor"/>
    <tableColumn id="3" xr3:uid="{47C373FA-2793-4D41-BC9A-6E3580E2DD77}" name="I_max [pu]"/>
    <tableColumn id="4" xr3:uid="{D2733065-F055-4E37-9924-FA878644F16E}" name="I_max en t [s]"/>
    <tableColumn id="5" xr3:uid="{E4DF0C87-7692-4302-B902-DB3547096C59}" name="I_mean [pu]"/>
    <tableColumn id="6" xr3:uid="{3BCD57E2-1154-4509-9199-8B7B2B4AF7F9}" name="I_min [pu]"/>
    <tableColumn id="7" xr3:uid="{116A38E0-FD2B-4004-8DE9-F65975A3E23F}" name="Supera limite nominal"/>
    <tableColumn id="8" xr3:uid="{5E9EA5C7-6BCD-467C-A87A-6927FB85F429}" name="Supera limite critico"/>
    <tableColumn id="9" xr3:uid="{EDF855B6-AF7D-4FD8-AA14-7C9E45B1292A}" name="Tiempo sobre limite [s]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AF9544-20CD-46FD-BF2D-25B90F2CDFDE}" name="Tabla3" displayName="Tabla3" ref="A1:I20" totalsRowShown="0" headerRowDxfId="10" headerRowBorderDxfId="12" tableBorderDxfId="13">
  <autoFilter ref="A1:I20" xr:uid="{8CAF9544-20CD-46FD-BF2D-25B90F2CDFDE}"/>
  <tableColumns count="9">
    <tableColumn id="1" xr3:uid="{48A237BC-73C3-4FBB-8F5E-04A35CC54E0B}" name="Maquina" dataDxfId="11"/>
    <tableColumn id="2" xr3:uid="{9EEA18A1-120F-4900-95C5-83FCC0C457F2}" name="Es Inversor"/>
    <tableColumn id="3" xr3:uid="{8C4EA3A4-F544-496B-8183-E5BEDD6D1B42}" name="I_max [pu]"/>
    <tableColumn id="4" xr3:uid="{9243BF4A-A402-4D00-8B0A-1C683ACBFF55}" name="I_max en t [s]"/>
    <tableColumn id="5" xr3:uid="{CACCBD3E-B762-4102-91FF-A849062D3FF0}" name="I_mean [pu]"/>
    <tableColumn id="6" xr3:uid="{6C7A0BD9-47EB-44E0-A193-7ADC4D5E6812}" name="I_min [pu]"/>
    <tableColumn id="7" xr3:uid="{A5B7211D-7B96-4DA9-B27D-8F173D965D97}" name="Supera limite nominal"/>
    <tableColumn id="8" xr3:uid="{EEC77BC8-4B32-43E0-AC83-56011770CA57}" name="Supera limite critico"/>
    <tableColumn id="9" xr3:uid="{8DD66FA1-0A1A-467C-BCB7-38D385E1F175}" name="Tiempo sobre limite [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8F8EC8-02B3-440F-A787-A3A2FE47BBE4}" name="Tabla4" displayName="Tabla4" ref="A1:I20" totalsRowShown="0" headerRowDxfId="6" headerRowBorderDxfId="8" tableBorderDxfId="9">
  <autoFilter ref="A1:I20" xr:uid="{598F8EC8-02B3-440F-A787-A3A2FE47BBE4}"/>
  <tableColumns count="9">
    <tableColumn id="1" xr3:uid="{9328FE62-89C1-45D7-94AF-6D36DC901192}" name="Maquina" dataDxfId="7"/>
    <tableColumn id="2" xr3:uid="{0BFC6486-1033-4E23-A7F7-3999F89913DB}" name="Es Inversor"/>
    <tableColumn id="3" xr3:uid="{F469119B-B0AE-4E6F-BB81-F9780F0E8A2A}" name="I_max [pu]"/>
    <tableColumn id="4" xr3:uid="{2B327174-3C01-4A71-9303-1A76E189426E}" name="I_max en t [s]"/>
    <tableColumn id="5" xr3:uid="{8968E221-60BE-4EA7-AA60-154CE6FEC04A}" name="I_mean [pu]"/>
    <tableColumn id="6" xr3:uid="{21CAC6EE-02F4-4603-8089-B260AA9B7263}" name="I_min [pu]"/>
    <tableColumn id="7" xr3:uid="{F8D4E491-8584-4898-B234-163381067A0C}" name="Supera limite nominal"/>
    <tableColumn id="8" xr3:uid="{77F9AAE9-BDF3-4C4E-8A7A-B0FC5D5DEE60}" name="Supera limite critico"/>
    <tableColumn id="9" xr3:uid="{54A856BC-AA9A-4FE0-AFCA-E28CFF8E4E2E}" name="Tiempo sobre limite [s]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9830B3-C7EC-49E3-907B-D093C92EED41}" name="Tabla5" displayName="Tabla5" ref="A1:I20" totalsRowShown="0" headerRowDxfId="2" headerRowBorderDxfId="4" tableBorderDxfId="5">
  <autoFilter ref="A1:I20" xr:uid="{D79830B3-C7EC-49E3-907B-D093C92EED41}"/>
  <tableColumns count="9">
    <tableColumn id="1" xr3:uid="{51E5E0FB-F229-44F1-BACE-D02163317160}" name="Maquina" dataDxfId="3"/>
    <tableColumn id="2" xr3:uid="{6712609E-DE7A-4FD5-A971-922C44D01AC5}" name="Es Inversor"/>
    <tableColumn id="3" xr3:uid="{A9471847-739A-4299-8586-B59B9180930C}" name="I_max [pu]"/>
    <tableColumn id="4" xr3:uid="{9CF0BAF4-48A1-4DF7-ADF0-3527CD5EBEB5}" name="I_max en t [s]"/>
    <tableColumn id="5" xr3:uid="{E9127C87-01E0-4B48-B365-C6A8C5845D05}" name="I_mean [pu]"/>
    <tableColumn id="6" xr3:uid="{8FADC4B7-4041-4779-90A0-E7BAAE55BCDA}" name="I_min [pu]"/>
    <tableColumn id="7" xr3:uid="{EC94E147-D6F2-4725-B949-E304A57F153F}" name="Supera limite nominal"/>
    <tableColumn id="8" xr3:uid="{6AE5F171-BA27-40A6-988A-5E3E191C9006}" name="Supera limite critico"/>
    <tableColumn id="9" xr3:uid="{AA2FF6DF-DA99-4BCE-B1F8-4589EF80836B}" name="Tiempo sobre limite [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481D24-E04C-428F-B0A6-C39AFD3D3B6B}" name="Tabla6" displayName="Tabla6" ref="A1:H6" totalsRowShown="0">
  <autoFilter ref="A1:H6" xr:uid="{15481D24-E04C-428F-B0A6-C39AFD3D3B6B}"/>
  <tableColumns count="8">
    <tableColumn id="1" xr3:uid="{C3AE4199-58BB-4F34-9499-48B810F0D805}" name="Escenario" dataDxfId="1"/>
    <tableColumn id="9" xr3:uid="{4C6F9095-5A26-4A93-9F14-22BD7DD7D3B4}" name="Cantidad de inversores" dataDxfId="0"/>
    <tableColumn id="2" xr3:uid="{E6C2B2B2-590C-4088-B23F-18967CA1B498}" name="I max sistema"/>
    <tableColumn id="3" xr3:uid="{CBB8471D-120F-414B-A45A-F0A4AA8CA267}" name="Equipo asociado"/>
    <tableColumn id="4" xr3:uid="{2F5C5FB0-ECA0-4126-B207-0DB842D7F2A4}" name="t asociado imax"/>
    <tableColumn id="7" xr3:uid="{32C902C8-1DC5-4D5E-8234-434386A2C8A4}" name="Promedio corriente Imax"/>
    <tableColumn id="5" xr3:uid="{7CD3054E-7AB0-4265-98EF-7ACCF25ED47F}" name="supera limite nominal"/>
    <tableColumn id="6" xr3:uid="{5619CE37-9AFD-43BA-A1A3-ED6793E926A8}" name="supera limite critico"/>
  </tableColumns>
  <tableStyleInfo name="TableStyleMedium14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6988-1896-4F05-8721-2C4A87290A46}">
  <dimension ref="A1:I24"/>
  <sheetViews>
    <sheetView workbookViewId="0">
      <selection activeCell="B23" sqref="B23:G24"/>
    </sheetView>
  </sheetViews>
  <sheetFormatPr baseColWidth="10" defaultRowHeight="15" x14ac:dyDescent="0.25"/>
  <cols>
    <col min="1" max="1" width="14.85546875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" t="s">
        <v>9</v>
      </c>
      <c r="B2" t="s">
        <v>10</v>
      </c>
      <c r="C2">
        <v>0.75280000000000002</v>
      </c>
      <c r="D2">
        <v>0.63170000000000004</v>
      </c>
      <c r="E2">
        <v>0.74687423494570582</v>
      </c>
      <c r="F2">
        <v>0.74380000000000002</v>
      </c>
      <c r="G2" t="s">
        <v>11</v>
      </c>
      <c r="H2" t="s">
        <v>11</v>
      </c>
      <c r="I2">
        <v>0</v>
      </c>
    </row>
    <row r="3" spans="1:9" x14ac:dyDescent="0.25">
      <c r="A3" s="1" t="s">
        <v>12</v>
      </c>
      <c r="B3" t="s">
        <v>10</v>
      </c>
      <c r="C3">
        <v>0.65290000000000004</v>
      </c>
      <c r="D3">
        <v>0.63170000000000004</v>
      </c>
      <c r="E3">
        <v>0.64738943731490617</v>
      </c>
      <c r="F3">
        <v>0.64449999999999996</v>
      </c>
      <c r="G3" t="s">
        <v>11</v>
      </c>
      <c r="H3" t="s">
        <v>11</v>
      </c>
      <c r="I3">
        <v>0</v>
      </c>
    </row>
    <row r="4" spans="1:9" x14ac:dyDescent="0.25">
      <c r="A4" s="1" t="s">
        <v>13</v>
      </c>
      <c r="B4" t="s">
        <v>10</v>
      </c>
      <c r="C4">
        <v>0.3518</v>
      </c>
      <c r="D4">
        <v>5.4817</v>
      </c>
      <c r="E4">
        <v>0.34894205330700889</v>
      </c>
      <c r="F4">
        <v>0.34089999999999998</v>
      </c>
      <c r="G4" t="s">
        <v>11</v>
      </c>
      <c r="H4" t="s">
        <v>11</v>
      </c>
      <c r="I4">
        <v>0</v>
      </c>
    </row>
    <row r="5" spans="1:9" x14ac:dyDescent="0.25">
      <c r="A5" s="1" t="s">
        <v>14</v>
      </c>
      <c r="B5" t="s">
        <v>10</v>
      </c>
      <c r="C5">
        <v>0.75219999999999998</v>
      </c>
      <c r="D5">
        <v>0.65169999999999995</v>
      </c>
      <c r="E5">
        <v>0.74667077986179675</v>
      </c>
      <c r="F5">
        <v>0.74380000000000002</v>
      </c>
      <c r="G5" t="s">
        <v>11</v>
      </c>
      <c r="H5" t="s">
        <v>11</v>
      </c>
      <c r="I5">
        <v>0</v>
      </c>
    </row>
    <row r="6" spans="1:9" x14ac:dyDescent="0.25">
      <c r="A6" s="1" t="s">
        <v>15</v>
      </c>
      <c r="B6" t="s">
        <v>10</v>
      </c>
      <c r="C6">
        <v>0.7651</v>
      </c>
      <c r="D6">
        <v>5.5217000000000001</v>
      </c>
      <c r="E6">
        <v>0.76245133267522214</v>
      </c>
      <c r="F6">
        <v>0.75390000000000001</v>
      </c>
      <c r="G6" t="s">
        <v>11</v>
      </c>
      <c r="H6" t="s">
        <v>11</v>
      </c>
      <c r="I6">
        <v>0</v>
      </c>
    </row>
    <row r="7" spans="1:9" x14ac:dyDescent="0.25">
      <c r="A7" s="1" t="s">
        <v>16</v>
      </c>
      <c r="B7" t="s">
        <v>10</v>
      </c>
      <c r="C7">
        <v>0.78939999999999999</v>
      </c>
      <c r="D7">
        <v>0.53169999999999995</v>
      </c>
      <c r="E7">
        <v>0.78376643632773935</v>
      </c>
      <c r="F7">
        <v>0.78059999999999996</v>
      </c>
      <c r="G7" t="s">
        <v>11</v>
      </c>
      <c r="H7" t="s">
        <v>11</v>
      </c>
      <c r="I7">
        <v>0</v>
      </c>
    </row>
    <row r="8" spans="1:9" x14ac:dyDescent="0.25">
      <c r="A8" s="1" t="s">
        <v>17</v>
      </c>
      <c r="B8" t="s">
        <v>10</v>
      </c>
      <c r="C8">
        <v>0.45329999999999998</v>
      </c>
      <c r="D8">
        <v>5.4717000000000002</v>
      </c>
      <c r="E8">
        <v>0.45029486673247782</v>
      </c>
      <c r="F8">
        <v>0.44269999999999998</v>
      </c>
      <c r="G8" t="s">
        <v>11</v>
      </c>
      <c r="H8" t="s">
        <v>11</v>
      </c>
      <c r="I8">
        <v>0</v>
      </c>
    </row>
    <row r="9" spans="1:9" x14ac:dyDescent="0.25">
      <c r="A9" s="1" t="s">
        <v>18</v>
      </c>
      <c r="B9" t="s">
        <v>10</v>
      </c>
      <c r="C9">
        <v>0.84</v>
      </c>
      <c r="D9">
        <v>0.5917</v>
      </c>
      <c r="E9">
        <v>0.83388460019743338</v>
      </c>
      <c r="F9">
        <v>0.8306</v>
      </c>
      <c r="G9" t="s">
        <v>11</v>
      </c>
      <c r="H9" t="s">
        <v>11</v>
      </c>
      <c r="I9">
        <v>0</v>
      </c>
    </row>
    <row r="10" spans="1:9" x14ac:dyDescent="0.25">
      <c r="A10" s="1" t="s">
        <v>19</v>
      </c>
      <c r="B10" t="s">
        <v>10</v>
      </c>
      <c r="C10">
        <v>0.312</v>
      </c>
      <c r="D10">
        <v>5.0000000000000001E-3</v>
      </c>
      <c r="E10">
        <v>0.30317650542941749</v>
      </c>
      <c r="F10">
        <v>0.29930000000000001</v>
      </c>
      <c r="G10" t="s">
        <v>11</v>
      </c>
      <c r="H10" t="s">
        <v>11</v>
      </c>
      <c r="I10">
        <v>0</v>
      </c>
    </row>
    <row r="11" spans="1:9" x14ac:dyDescent="0.25">
      <c r="A11" s="1" t="s">
        <v>20</v>
      </c>
      <c r="B11" t="s">
        <v>10</v>
      </c>
      <c r="C11">
        <v>0.82609999999999995</v>
      </c>
      <c r="D11">
        <v>5.0000000000000001E-3</v>
      </c>
      <c r="E11">
        <v>0.81109812438302065</v>
      </c>
      <c r="F11">
        <v>0.8075</v>
      </c>
      <c r="G11" t="s">
        <v>11</v>
      </c>
      <c r="H11" t="s">
        <v>11</v>
      </c>
      <c r="I11">
        <v>0</v>
      </c>
    </row>
    <row r="12" spans="1:9" x14ac:dyDescent="0.25">
      <c r="A12" s="1" t="s">
        <v>21</v>
      </c>
      <c r="B12" t="s">
        <v>10</v>
      </c>
      <c r="C12">
        <v>0.55249999999999999</v>
      </c>
      <c r="D12">
        <v>5.0016999999999996</v>
      </c>
      <c r="E12">
        <v>0.54987917077986181</v>
      </c>
      <c r="F12">
        <v>0.53810000000000002</v>
      </c>
      <c r="G12" t="s">
        <v>11</v>
      </c>
      <c r="H12" t="s">
        <v>11</v>
      </c>
      <c r="I12">
        <v>0</v>
      </c>
    </row>
    <row r="13" spans="1:9" x14ac:dyDescent="0.25">
      <c r="A13" s="1" t="s">
        <v>22</v>
      </c>
      <c r="B13" t="s">
        <v>10</v>
      </c>
      <c r="C13">
        <v>0.84970000000000001</v>
      </c>
      <c r="D13">
        <v>0.57169999999999999</v>
      </c>
      <c r="E13">
        <v>0.84382369200394858</v>
      </c>
      <c r="F13">
        <v>0.8407</v>
      </c>
      <c r="G13" t="s">
        <v>11</v>
      </c>
      <c r="H13" t="s">
        <v>11</v>
      </c>
      <c r="I13">
        <v>0</v>
      </c>
    </row>
    <row r="14" spans="1:9" x14ac:dyDescent="0.25">
      <c r="A14" s="1" t="s">
        <v>23</v>
      </c>
      <c r="B14" t="s">
        <v>10</v>
      </c>
      <c r="C14">
        <v>0.77110000000000001</v>
      </c>
      <c r="D14">
        <v>3.1417000000000002</v>
      </c>
      <c r="E14">
        <v>0.76403257650542944</v>
      </c>
      <c r="F14">
        <v>0.75519999999999998</v>
      </c>
      <c r="G14" t="s">
        <v>11</v>
      </c>
      <c r="H14" t="s">
        <v>11</v>
      </c>
      <c r="I14">
        <v>0</v>
      </c>
    </row>
    <row r="15" spans="1:9" x14ac:dyDescent="0.25">
      <c r="A15" s="1" t="s">
        <v>24</v>
      </c>
      <c r="B15" t="s">
        <v>10</v>
      </c>
      <c r="C15">
        <v>0.75539999999999996</v>
      </c>
      <c r="D15">
        <v>5.0000000000000001E-3</v>
      </c>
      <c r="E15">
        <v>0.7418719644619941</v>
      </c>
      <c r="F15">
        <v>0.73799999999999999</v>
      </c>
      <c r="G15" t="s">
        <v>11</v>
      </c>
      <c r="H15" t="s">
        <v>11</v>
      </c>
      <c r="I15">
        <v>0</v>
      </c>
    </row>
    <row r="16" spans="1:9" x14ac:dyDescent="0.25">
      <c r="A16" s="1" t="s">
        <v>25</v>
      </c>
      <c r="B16" t="s">
        <v>10</v>
      </c>
      <c r="C16">
        <v>0.81530000000000002</v>
      </c>
      <c r="D16">
        <v>3.1516999999999999</v>
      </c>
      <c r="E16">
        <v>0.81063968410661402</v>
      </c>
      <c r="F16">
        <v>0.80549999999999999</v>
      </c>
      <c r="G16" t="s">
        <v>11</v>
      </c>
      <c r="H16" t="s">
        <v>11</v>
      </c>
      <c r="I16">
        <v>0</v>
      </c>
    </row>
    <row r="17" spans="1:9" x14ac:dyDescent="0.25">
      <c r="A17" s="1" t="s">
        <v>26</v>
      </c>
      <c r="B17" t="s">
        <v>10</v>
      </c>
      <c r="C17">
        <v>0.96640000000000004</v>
      </c>
      <c r="D17">
        <v>0.11169999999999999</v>
      </c>
      <c r="E17">
        <v>0.95963721618953601</v>
      </c>
      <c r="F17">
        <v>0.95650000000000002</v>
      </c>
      <c r="G17" t="s">
        <v>11</v>
      </c>
      <c r="H17" t="s">
        <v>11</v>
      </c>
      <c r="I17">
        <v>0</v>
      </c>
    </row>
    <row r="18" spans="1:9" x14ac:dyDescent="0.25">
      <c r="A18" s="1" t="s">
        <v>27</v>
      </c>
      <c r="B18" t="s">
        <v>10</v>
      </c>
      <c r="C18">
        <v>0.35580000000000001</v>
      </c>
      <c r="D18">
        <v>5.0000000000000001E-3</v>
      </c>
      <c r="E18">
        <v>0.34856071076011852</v>
      </c>
      <c r="F18">
        <v>0.33860000000000001</v>
      </c>
      <c r="G18" t="s">
        <v>11</v>
      </c>
      <c r="H18" t="s">
        <v>11</v>
      </c>
      <c r="I18">
        <v>0</v>
      </c>
    </row>
    <row r="19" spans="1:9" x14ac:dyDescent="0.25">
      <c r="A19" s="1" t="s">
        <v>28</v>
      </c>
      <c r="B19" t="s">
        <v>10</v>
      </c>
      <c r="C19">
        <v>0.67900000000000005</v>
      </c>
      <c r="D19">
        <v>5.0000000000000001E-3</v>
      </c>
      <c r="E19">
        <v>0.66382645607107593</v>
      </c>
      <c r="F19">
        <v>0.6603</v>
      </c>
      <c r="G19" t="s">
        <v>11</v>
      </c>
      <c r="H19" t="s">
        <v>11</v>
      </c>
      <c r="I19">
        <v>0</v>
      </c>
    </row>
    <row r="20" spans="1:9" x14ac:dyDescent="0.25">
      <c r="A20" s="1" t="s">
        <v>29</v>
      </c>
      <c r="B20" t="s">
        <v>10</v>
      </c>
      <c r="C20">
        <v>0.87939999999999996</v>
      </c>
      <c r="D20">
        <v>6.2016999999999998</v>
      </c>
      <c r="E20">
        <v>0.87644906219151031</v>
      </c>
      <c r="F20">
        <v>0.8629</v>
      </c>
      <c r="G20" t="s">
        <v>11</v>
      </c>
      <c r="H20" t="s">
        <v>11</v>
      </c>
      <c r="I20">
        <v>0</v>
      </c>
    </row>
    <row r="23" spans="1:9" x14ac:dyDescent="0.25">
      <c r="B23" s="5" t="s">
        <v>50</v>
      </c>
      <c r="C23" s="5" t="s">
        <v>51</v>
      </c>
      <c r="D23" s="5" t="s">
        <v>52</v>
      </c>
      <c r="E23" s="5" t="s">
        <v>53</v>
      </c>
      <c r="F23" s="5" t="s">
        <v>54</v>
      </c>
      <c r="G23" s="5" t="s">
        <v>55</v>
      </c>
    </row>
    <row r="24" spans="1:9" x14ac:dyDescent="0.25">
      <c r="B24" s="8">
        <f>MAX(C2:C20)</f>
        <v>0.96640000000000004</v>
      </c>
      <c r="C24" s="8" t="str">
        <f>INDEX(Tabla1[Maquina],MATCH(B24,Tabla1[I_max '[pu']],0))</f>
        <v>Nueva Renca</v>
      </c>
      <c r="D24" s="8">
        <f>INDEX(Tabla1[I_max en t '[s']],MATCH(B24,Tabla1[I_max '[pu']],0))</f>
        <v>0.11169999999999999</v>
      </c>
      <c r="E24" s="8">
        <f>COUNTIF(G2:G20,"Si")</f>
        <v>0</v>
      </c>
      <c r="F24" s="8">
        <f>COUNTIF(H2:H20,"Si")</f>
        <v>0</v>
      </c>
      <c r="G24" s="9">
        <f>AVERAGE(Tabla1[I_max '[pu']])</f>
        <v>0.69053684210526323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DEC7-936B-42AD-B3F2-9AE3ECEB3BEB}">
  <dimension ref="A1:I24"/>
  <sheetViews>
    <sheetView workbookViewId="0">
      <selection activeCell="B24" sqref="B24:G24"/>
    </sheetView>
  </sheetViews>
  <sheetFormatPr baseColWidth="10" defaultRowHeight="15" x14ac:dyDescent="0.25"/>
  <cols>
    <col min="1" max="1" width="19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" t="s">
        <v>30</v>
      </c>
      <c r="B2" s="2" t="s">
        <v>31</v>
      </c>
      <c r="C2" s="2">
        <v>0.85940000000000005</v>
      </c>
      <c r="D2" s="2">
        <v>2.7017000000000002</v>
      </c>
      <c r="E2" s="2">
        <v>0.8072395853899309</v>
      </c>
      <c r="F2" s="2">
        <v>0.74660000000000004</v>
      </c>
      <c r="G2" s="2" t="s">
        <v>11</v>
      </c>
      <c r="H2" s="2" t="s">
        <v>11</v>
      </c>
      <c r="I2" s="2">
        <v>0</v>
      </c>
    </row>
    <row r="3" spans="1:9" x14ac:dyDescent="0.25">
      <c r="A3" s="1" t="s">
        <v>32</v>
      </c>
      <c r="B3" s="2" t="s">
        <v>31</v>
      </c>
      <c r="C3" s="2">
        <v>0.76039999999999996</v>
      </c>
      <c r="D3" s="2">
        <v>2.7017000000000002</v>
      </c>
      <c r="E3" s="2">
        <v>0.70805488647581438</v>
      </c>
      <c r="F3" s="2">
        <v>0.6472</v>
      </c>
      <c r="G3" s="2" t="s">
        <v>11</v>
      </c>
      <c r="H3" s="2" t="s">
        <v>11</v>
      </c>
      <c r="I3" s="2">
        <v>0</v>
      </c>
    </row>
    <row r="4" spans="1:9" x14ac:dyDescent="0.25">
      <c r="A4" s="1" t="s">
        <v>33</v>
      </c>
      <c r="B4" s="2" t="s">
        <v>31</v>
      </c>
      <c r="C4" s="2">
        <v>0.44779999999999998</v>
      </c>
      <c r="D4" s="2">
        <v>2.7017000000000002</v>
      </c>
      <c r="E4" s="2">
        <v>0.39772142152023687</v>
      </c>
      <c r="F4" s="2">
        <v>0.34089999999999998</v>
      </c>
      <c r="G4" s="2" t="s">
        <v>11</v>
      </c>
      <c r="H4" s="2" t="s">
        <v>11</v>
      </c>
      <c r="I4" s="2">
        <v>0</v>
      </c>
    </row>
    <row r="5" spans="1:9" x14ac:dyDescent="0.25">
      <c r="A5" s="1" t="s">
        <v>34</v>
      </c>
      <c r="B5" s="2" t="s">
        <v>31</v>
      </c>
      <c r="C5" s="2">
        <v>0.85919999999999996</v>
      </c>
      <c r="D5" s="2">
        <v>2.7017000000000002</v>
      </c>
      <c r="E5" s="2">
        <v>0.8070334649555776</v>
      </c>
      <c r="F5" s="2">
        <v>0.74639999999999995</v>
      </c>
      <c r="G5" s="2" t="s">
        <v>11</v>
      </c>
      <c r="H5" s="2" t="s">
        <v>11</v>
      </c>
      <c r="I5" s="2">
        <v>0</v>
      </c>
    </row>
    <row r="6" spans="1:9" x14ac:dyDescent="0.25">
      <c r="A6" s="1" t="s">
        <v>35</v>
      </c>
      <c r="B6" s="2" t="s">
        <v>31</v>
      </c>
      <c r="C6" s="2">
        <v>0.85950000000000004</v>
      </c>
      <c r="D6" s="2">
        <v>2.7017000000000002</v>
      </c>
      <c r="E6" s="2">
        <v>0.81060700888450143</v>
      </c>
      <c r="F6" s="2">
        <v>0.75390000000000001</v>
      </c>
      <c r="G6" s="2" t="s">
        <v>11</v>
      </c>
      <c r="H6" s="2" t="s">
        <v>11</v>
      </c>
      <c r="I6" s="2">
        <v>0</v>
      </c>
    </row>
    <row r="7" spans="1:9" x14ac:dyDescent="0.25">
      <c r="A7" s="1" t="s">
        <v>36</v>
      </c>
      <c r="B7" s="2" t="s">
        <v>31</v>
      </c>
      <c r="C7" s="2">
        <v>0.87629999999999997</v>
      </c>
      <c r="D7" s="2">
        <v>2.7017000000000002</v>
      </c>
      <c r="E7" s="2">
        <v>0.83303879565646599</v>
      </c>
      <c r="F7" s="2">
        <v>0.78390000000000004</v>
      </c>
      <c r="G7" s="2" t="s">
        <v>11</v>
      </c>
      <c r="H7" s="2" t="s">
        <v>11</v>
      </c>
      <c r="I7" s="2">
        <v>0</v>
      </c>
    </row>
    <row r="8" spans="1:9" x14ac:dyDescent="0.25">
      <c r="A8" s="1" t="s">
        <v>17</v>
      </c>
      <c r="B8" s="2" t="s">
        <v>10</v>
      </c>
      <c r="C8" s="2">
        <v>0.45129999999999998</v>
      </c>
      <c r="D8" s="2">
        <v>5.3716999999999997</v>
      </c>
      <c r="E8" s="2">
        <v>0.44946446199407702</v>
      </c>
      <c r="F8" s="2">
        <v>0.44269999999999998</v>
      </c>
      <c r="G8" s="2" t="s">
        <v>11</v>
      </c>
      <c r="H8" s="2" t="s">
        <v>11</v>
      </c>
      <c r="I8" s="2">
        <v>0</v>
      </c>
    </row>
    <row r="9" spans="1:9" x14ac:dyDescent="0.25">
      <c r="A9" s="1" t="s">
        <v>18</v>
      </c>
      <c r="B9" s="2" t="s">
        <v>10</v>
      </c>
      <c r="C9" s="2">
        <v>0.83919999999999995</v>
      </c>
      <c r="D9" s="2">
        <v>0.60170000000000001</v>
      </c>
      <c r="E9" s="2">
        <v>0.83409062191510364</v>
      </c>
      <c r="F9" s="2">
        <v>0.83230000000000004</v>
      </c>
      <c r="G9" s="2" t="s">
        <v>11</v>
      </c>
      <c r="H9" s="2" t="s">
        <v>11</v>
      </c>
      <c r="I9" s="2">
        <v>0</v>
      </c>
    </row>
    <row r="10" spans="1:9" x14ac:dyDescent="0.25">
      <c r="A10" s="1" t="s">
        <v>19</v>
      </c>
      <c r="B10" s="2" t="s">
        <v>10</v>
      </c>
      <c r="C10" s="2">
        <v>0.312</v>
      </c>
      <c r="D10" s="2">
        <v>5.0000000000000001E-3</v>
      </c>
      <c r="E10" s="2">
        <v>0.30338677196446201</v>
      </c>
      <c r="F10" s="2">
        <v>0.30109999999999998</v>
      </c>
      <c r="G10" s="2" t="s">
        <v>11</v>
      </c>
      <c r="H10" s="2" t="s">
        <v>11</v>
      </c>
      <c r="I10" s="2">
        <v>0</v>
      </c>
    </row>
    <row r="11" spans="1:9" x14ac:dyDescent="0.25">
      <c r="A11" s="1" t="s">
        <v>20</v>
      </c>
      <c r="B11" s="2" t="s">
        <v>10</v>
      </c>
      <c r="C11" s="2">
        <v>0.82609999999999995</v>
      </c>
      <c r="D11" s="2">
        <v>5.0000000000000001E-3</v>
      </c>
      <c r="E11" s="2">
        <v>0.81125834155972365</v>
      </c>
      <c r="F11" s="2">
        <v>0.80940000000000001</v>
      </c>
      <c r="G11" s="2" t="s">
        <v>11</v>
      </c>
      <c r="H11" s="2" t="s">
        <v>11</v>
      </c>
      <c r="I11" s="2">
        <v>0</v>
      </c>
    </row>
    <row r="12" spans="1:9" x14ac:dyDescent="0.25">
      <c r="A12" s="1" t="s">
        <v>21</v>
      </c>
      <c r="B12" s="2" t="s">
        <v>10</v>
      </c>
      <c r="C12" s="2">
        <v>0.55259999999999998</v>
      </c>
      <c r="D12" s="2">
        <v>5.0000000000000001E-3</v>
      </c>
      <c r="E12" s="2">
        <v>0.5490127344521224</v>
      </c>
      <c r="F12" s="2">
        <v>0.5383</v>
      </c>
      <c r="G12" s="2" t="s">
        <v>11</v>
      </c>
      <c r="H12" s="2" t="s">
        <v>11</v>
      </c>
      <c r="I12" s="2">
        <v>0</v>
      </c>
    </row>
    <row r="13" spans="1:9" x14ac:dyDescent="0.25">
      <c r="A13" s="1" t="s">
        <v>22</v>
      </c>
      <c r="B13" s="2" t="s">
        <v>10</v>
      </c>
      <c r="C13" s="2">
        <v>0.84909999999999997</v>
      </c>
      <c r="D13" s="2">
        <v>0.58169999999999999</v>
      </c>
      <c r="E13" s="2">
        <v>0.8443833168805529</v>
      </c>
      <c r="F13" s="2">
        <v>0.8427</v>
      </c>
      <c r="G13" s="2" t="s">
        <v>11</v>
      </c>
      <c r="H13" s="2" t="s">
        <v>11</v>
      </c>
      <c r="I13" s="2">
        <v>0</v>
      </c>
    </row>
    <row r="14" spans="1:9" x14ac:dyDescent="0.25">
      <c r="A14" s="1" t="s">
        <v>23</v>
      </c>
      <c r="B14" s="2" t="s">
        <v>10</v>
      </c>
      <c r="C14" s="2">
        <v>0.7732</v>
      </c>
      <c r="D14" s="2">
        <v>3.0817000000000001</v>
      </c>
      <c r="E14" s="2">
        <v>0.76732102665350443</v>
      </c>
      <c r="F14" s="2">
        <v>0.75919999999999999</v>
      </c>
      <c r="G14" s="2" t="s">
        <v>11</v>
      </c>
      <c r="H14" s="2" t="s">
        <v>11</v>
      </c>
      <c r="I14" s="2">
        <v>0</v>
      </c>
    </row>
    <row r="15" spans="1:9" x14ac:dyDescent="0.25">
      <c r="A15" s="1" t="s">
        <v>24</v>
      </c>
      <c r="B15" s="2" t="s">
        <v>10</v>
      </c>
      <c r="C15" s="2">
        <v>0.75539999999999996</v>
      </c>
      <c r="D15" s="2">
        <v>5.0000000000000001E-3</v>
      </c>
      <c r="E15" s="2">
        <v>0.74209190523198421</v>
      </c>
      <c r="F15" s="2">
        <v>0.74</v>
      </c>
      <c r="G15" s="2" t="s">
        <v>11</v>
      </c>
      <c r="H15" s="2" t="s">
        <v>11</v>
      </c>
      <c r="I15" s="2">
        <v>0</v>
      </c>
    </row>
    <row r="16" spans="1:9" x14ac:dyDescent="0.25">
      <c r="A16" s="1" t="s">
        <v>25</v>
      </c>
      <c r="B16" s="2" t="s">
        <v>10</v>
      </c>
      <c r="C16" s="2">
        <v>0.83860000000000001</v>
      </c>
      <c r="D16" s="2">
        <v>4.5416999999999996</v>
      </c>
      <c r="E16" s="2">
        <v>0.83562329713721617</v>
      </c>
      <c r="F16" s="2">
        <v>0.83069999999999999</v>
      </c>
      <c r="G16" s="2" t="s">
        <v>11</v>
      </c>
      <c r="H16" s="2" t="s">
        <v>11</v>
      </c>
      <c r="I16" s="2">
        <v>0</v>
      </c>
    </row>
    <row r="17" spans="1:9" x14ac:dyDescent="0.25">
      <c r="A17" s="1" t="s">
        <v>26</v>
      </c>
      <c r="B17" s="2" t="s">
        <v>10</v>
      </c>
      <c r="C17" s="2">
        <v>0.96650000000000003</v>
      </c>
      <c r="D17" s="2">
        <v>0.1217</v>
      </c>
      <c r="E17" s="2">
        <v>0.96009792694965457</v>
      </c>
      <c r="F17" s="2">
        <v>0.95720000000000005</v>
      </c>
      <c r="G17" s="2" t="s">
        <v>11</v>
      </c>
      <c r="H17" s="2" t="s">
        <v>11</v>
      </c>
      <c r="I17" s="2">
        <v>0</v>
      </c>
    </row>
    <row r="18" spans="1:9" x14ac:dyDescent="0.25">
      <c r="A18" s="1" t="s">
        <v>27</v>
      </c>
      <c r="B18" s="2" t="s">
        <v>10</v>
      </c>
      <c r="C18" s="2">
        <v>0.35580000000000001</v>
      </c>
      <c r="D18" s="2">
        <v>5.0000000000000001E-3</v>
      </c>
      <c r="E18" s="2">
        <v>0.34639851924975318</v>
      </c>
      <c r="F18" s="2">
        <v>0.33860000000000001</v>
      </c>
      <c r="G18" s="2" t="s">
        <v>11</v>
      </c>
      <c r="H18" s="2" t="s">
        <v>11</v>
      </c>
      <c r="I18" s="2">
        <v>0</v>
      </c>
    </row>
    <row r="19" spans="1:9" x14ac:dyDescent="0.25">
      <c r="A19" s="1" t="s">
        <v>28</v>
      </c>
      <c r="B19" s="2" t="s">
        <v>10</v>
      </c>
      <c r="C19" s="2">
        <v>0.67910000000000004</v>
      </c>
      <c r="D19" s="2">
        <v>5.0000000000000001E-3</v>
      </c>
      <c r="E19" s="2">
        <v>0.66402665350444223</v>
      </c>
      <c r="F19" s="2">
        <v>0.66200000000000003</v>
      </c>
      <c r="G19" s="2" t="s">
        <v>11</v>
      </c>
      <c r="H19" s="2" t="s">
        <v>11</v>
      </c>
      <c r="I19" s="2">
        <v>0</v>
      </c>
    </row>
    <row r="20" spans="1:9" x14ac:dyDescent="0.25">
      <c r="A20" s="1" t="s">
        <v>29</v>
      </c>
      <c r="B20" s="2" t="s">
        <v>10</v>
      </c>
      <c r="C20" s="2">
        <v>0.87839999999999996</v>
      </c>
      <c r="D20" s="2">
        <v>5.0000000000000001E-3</v>
      </c>
      <c r="E20" s="2">
        <v>0.87443149062191505</v>
      </c>
      <c r="F20" s="2">
        <v>0.8629</v>
      </c>
      <c r="G20" s="2" t="s">
        <v>11</v>
      </c>
      <c r="H20" s="2" t="s">
        <v>11</v>
      </c>
      <c r="I20" s="2">
        <v>0</v>
      </c>
    </row>
    <row r="23" spans="1:9" x14ac:dyDescent="0.25">
      <c r="B23" s="5" t="s">
        <v>50</v>
      </c>
      <c r="C23" s="5" t="s">
        <v>51</v>
      </c>
      <c r="D23" s="5" t="s">
        <v>52</v>
      </c>
      <c r="E23" s="5" t="s">
        <v>53</v>
      </c>
      <c r="F23" s="5" t="s">
        <v>54</v>
      </c>
      <c r="G23" s="5" t="s">
        <v>55</v>
      </c>
    </row>
    <row r="24" spans="1:9" x14ac:dyDescent="0.25">
      <c r="B24" s="8">
        <f>MAX(C2:C20)</f>
        <v>0.96650000000000003</v>
      </c>
      <c r="C24" s="8" t="str">
        <f>INDEX(Tabla2[Maquina],MATCH(B24,Tabla2[I_max '[pu']],0))</f>
        <v>Nueva Renca</v>
      </c>
      <c r="D24" s="8">
        <f>INDEX(Tabla2[I_max en t '[s']],MATCH(B24,Tabla2[I_max '[pu']],0))</f>
        <v>0.1217</v>
      </c>
      <c r="E24" s="8">
        <f>COUNTIF(G2:G20,"Si")</f>
        <v>0</v>
      </c>
      <c r="F24" s="8">
        <f>COUNTIF(H2:H20,"Si")</f>
        <v>0</v>
      </c>
      <c r="G24" s="9">
        <f>AVERAGE(Tabla2[I_max '[pu']])</f>
        <v>0.72315263157894727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8CFB-38F0-4362-8D33-A1C7AEB8F05C}">
  <dimension ref="A1:I24"/>
  <sheetViews>
    <sheetView workbookViewId="0">
      <selection activeCell="B24" sqref="B24:G24"/>
    </sheetView>
  </sheetViews>
  <sheetFormatPr baseColWidth="10" defaultRowHeight="15" x14ac:dyDescent="0.25"/>
  <cols>
    <col min="1" max="1" width="19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" t="s">
        <v>30</v>
      </c>
      <c r="B2" s="3" t="s">
        <v>31</v>
      </c>
      <c r="C2" s="3">
        <v>0.81850000000000001</v>
      </c>
      <c r="D2" s="3">
        <v>1.7417</v>
      </c>
      <c r="E2" s="3">
        <v>0.79305932872655482</v>
      </c>
      <c r="F2" s="3">
        <v>0.74650000000000005</v>
      </c>
      <c r="G2" s="3" t="s">
        <v>11</v>
      </c>
      <c r="H2" s="3" t="s">
        <v>11</v>
      </c>
      <c r="I2" s="3">
        <v>0</v>
      </c>
    </row>
    <row r="3" spans="1:9" x14ac:dyDescent="0.25">
      <c r="A3" s="1" t="s">
        <v>32</v>
      </c>
      <c r="B3" s="3" t="s">
        <v>31</v>
      </c>
      <c r="C3" s="3">
        <v>0.71930000000000005</v>
      </c>
      <c r="D3" s="3">
        <v>1.7417</v>
      </c>
      <c r="E3" s="3">
        <v>0.69383790720631788</v>
      </c>
      <c r="F3" s="3">
        <v>0.6472</v>
      </c>
      <c r="G3" s="3" t="s">
        <v>11</v>
      </c>
      <c r="H3" s="3" t="s">
        <v>11</v>
      </c>
      <c r="I3" s="3">
        <v>0</v>
      </c>
    </row>
    <row r="4" spans="1:9" x14ac:dyDescent="0.25">
      <c r="A4" s="1" t="s">
        <v>33</v>
      </c>
      <c r="B4" s="3" t="s">
        <v>31</v>
      </c>
      <c r="C4" s="3">
        <v>0.4083</v>
      </c>
      <c r="D4" s="3">
        <v>1.8017000000000001</v>
      </c>
      <c r="E4" s="3">
        <v>0.38407788746298122</v>
      </c>
      <c r="F4" s="3">
        <v>0.34089999999999998</v>
      </c>
      <c r="G4" s="3" t="s">
        <v>11</v>
      </c>
      <c r="H4" s="3" t="s">
        <v>11</v>
      </c>
      <c r="I4" s="3">
        <v>0</v>
      </c>
    </row>
    <row r="5" spans="1:9" x14ac:dyDescent="0.25">
      <c r="A5" s="1" t="s">
        <v>34</v>
      </c>
      <c r="B5" s="3" t="s">
        <v>31</v>
      </c>
      <c r="C5" s="3">
        <v>0.81830000000000003</v>
      </c>
      <c r="D5" s="3">
        <v>1.7417</v>
      </c>
      <c r="E5" s="3">
        <v>0.79285478775913121</v>
      </c>
      <c r="F5" s="3">
        <v>0.74629999999999996</v>
      </c>
      <c r="G5" s="3" t="s">
        <v>11</v>
      </c>
      <c r="H5" s="3" t="s">
        <v>11</v>
      </c>
      <c r="I5" s="3">
        <v>0</v>
      </c>
    </row>
    <row r="6" spans="1:9" x14ac:dyDescent="0.25">
      <c r="A6" s="1" t="s">
        <v>35</v>
      </c>
      <c r="B6" s="3" t="s">
        <v>31</v>
      </c>
      <c r="C6" s="3">
        <v>0.82140000000000002</v>
      </c>
      <c r="D6" s="3">
        <v>1.7417</v>
      </c>
      <c r="E6" s="3">
        <v>0.79735340572556768</v>
      </c>
      <c r="F6" s="3">
        <v>0.75390000000000001</v>
      </c>
      <c r="G6" s="3" t="s">
        <v>11</v>
      </c>
      <c r="H6" s="3" t="s">
        <v>11</v>
      </c>
      <c r="I6" s="3">
        <v>0</v>
      </c>
    </row>
    <row r="7" spans="1:9" x14ac:dyDescent="0.25">
      <c r="A7" s="1" t="s">
        <v>36</v>
      </c>
      <c r="B7" s="3" t="s">
        <v>31</v>
      </c>
      <c r="C7" s="3">
        <v>0.8427</v>
      </c>
      <c r="D7" s="3">
        <v>1.7717000000000001</v>
      </c>
      <c r="E7" s="3">
        <v>0.82141549851924978</v>
      </c>
      <c r="F7" s="3">
        <v>0.78390000000000004</v>
      </c>
      <c r="G7" s="3" t="s">
        <v>11</v>
      </c>
      <c r="H7" s="3" t="s">
        <v>11</v>
      </c>
      <c r="I7" s="3">
        <v>0</v>
      </c>
    </row>
    <row r="8" spans="1:9" x14ac:dyDescent="0.25">
      <c r="A8" s="1" t="s">
        <v>37</v>
      </c>
      <c r="B8" s="3" t="s">
        <v>31</v>
      </c>
      <c r="C8" s="3">
        <v>0.49880000000000002</v>
      </c>
      <c r="D8" s="3">
        <v>1.8017000000000001</v>
      </c>
      <c r="E8" s="3">
        <v>0.47823731490621912</v>
      </c>
      <c r="F8" s="3">
        <v>0.44269999999999998</v>
      </c>
      <c r="G8" s="3" t="s">
        <v>11</v>
      </c>
      <c r="H8" s="3" t="s">
        <v>11</v>
      </c>
      <c r="I8" s="3">
        <v>0</v>
      </c>
    </row>
    <row r="9" spans="1:9" x14ac:dyDescent="0.25">
      <c r="A9" s="1" t="s">
        <v>38</v>
      </c>
      <c r="B9" s="3" t="s">
        <v>31</v>
      </c>
      <c r="C9" s="3">
        <v>0.90780000000000005</v>
      </c>
      <c r="D9" s="3">
        <v>1.7717000000000001</v>
      </c>
      <c r="E9" s="3">
        <v>0.88162379072063179</v>
      </c>
      <c r="F9" s="3">
        <v>0.83379999999999999</v>
      </c>
      <c r="G9" s="3" t="s">
        <v>11</v>
      </c>
      <c r="H9" s="3" t="s">
        <v>11</v>
      </c>
      <c r="I9" s="3">
        <v>0</v>
      </c>
    </row>
    <row r="10" spans="1:9" x14ac:dyDescent="0.25">
      <c r="A10" s="1" t="s">
        <v>39</v>
      </c>
      <c r="B10" s="3" t="s">
        <v>31</v>
      </c>
      <c r="C10" s="3">
        <v>0.38400000000000001</v>
      </c>
      <c r="D10" s="3">
        <v>1.7817000000000001</v>
      </c>
      <c r="E10" s="3">
        <v>0.35483622902270479</v>
      </c>
      <c r="F10" s="3">
        <v>0.30409999999999998</v>
      </c>
      <c r="G10" s="3" t="s">
        <v>11</v>
      </c>
      <c r="H10" s="3" t="s">
        <v>11</v>
      </c>
      <c r="I10" s="3">
        <v>0</v>
      </c>
    </row>
    <row r="11" spans="1:9" x14ac:dyDescent="0.25">
      <c r="A11" s="1" t="s">
        <v>20</v>
      </c>
      <c r="B11" s="3" t="s">
        <v>10</v>
      </c>
      <c r="C11" s="3">
        <v>0.82599999999999996</v>
      </c>
      <c r="D11" s="3">
        <v>5.0000000000000001E-3</v>
      </c>
      <c r="E11" s="3">
        <v>0.81124481737413623</v>
      </c>
      <c r="F11" s="3">
        <v>0.81</v>
      </c>
      <c r="G11" s="3" t="s">
        <v>11</v>
      </c>
      <c r="H11" s="3" t="s">
        <v>11</v>
      </c>
      <c r="I11" s="3">
        <v>0</v>
      </c>
    </row>
    <row r="12" spans="1:9" x14ac:dyDescent="0.25">
      <c r="A12" s="1" t="s">
        <v>21</v>
      </c>
      <c r="B12" s="3" t="s">
        <v>10</v>
      </c>
      <c r="C12" s="3">
        <v>0.55230000000000001</v>
      </c>
      <c r="D12" s="3">
        <v>5.0000000000000001E-3</v>
      </c>
      <c r="E12" s="3">
        <v>0.54832458045409682</v>
      </c>
      <c r="F12" s="3">
        <v>0.53810000000000002</v>
      </c>
      <c r="G12" s="3" t="s">
        <v>11</v>
      </c>
      <c r="H12" s="3" t="s">
        <v>11</v>
      </c>
      <c r="I12" s="3">
        <v>0</v>
      </c>
    </row>
    <row r="13" spans="1:9" x14ac:dyDescent="0.25">
      <c r="A13" s="1" t="s">
        <v>22</v>
      </c>
      <c r="B13" s="3" t="s">
        <v>10</v>
      </c>
      <c r="C13" s="3">
        <v>0.84809999999999997</v>
      </c>
      <c r="D13" s="3">
        <v>0.57169999999999999</v>
      </c>
      <c r="E13" s="3">
        <v>0.84457462981243825</v>
      </c>
      <c r="F13" s="3">
        <v>0.84340000000000004</v>
      </c>
      <c r="G13" s="3" t="s">
        <v>11</v>
      </c>
      <c r="H13" s="3" t="s">
        <v>11</v>
      </c>
      <c r="I13" s="3">
        <v>0</v>
      </c>
    </row>
    <row r="14" spans="1:9" x14ac:dyDescent="0.25">
      <c r="A14" s="1" t="s">
        <v>23</v>
      </c>
      <c r="B14" s="3" t="s">
        <v>10</v>
      </c>
      <c r="C14" s="3">
        <v>0.76559999999999995</v>
      </c>
      <c r="D14" s="3">
        <v>0.41170000000000001</v>
      </c>
      <c r="E14" s="3">
        <v>0.76132003948667326</v>
      </c>
      <c r="F14" s="3">
        <v>0.75380000000000003</v>
      </c>
      <c r="G14" s="3" t="s">
        <v>11</v>
      </c>
      <c r="H14" s="3" t="s">
        <v>11</v>
      </c>
      <c r="I14" s="3">
        <v>0</v>
      </c>
    </row>
    <row r="15" spans="1:9" x14ac:dyDescent="0.25">
      <c r="A15" s="1" t="s">
        <v>24</v>
      </c>
      <c r="B15" s="3" t="s">
        <v>10</v>
      </c>
      <c r="C15" s="3">
        <v>0.75519999999999998</v>
      </c>
      <c r="D15" s="3">
        <v>5.0000000000000001E-3</v>
      </c>
      <c r="E15" s="3">
        <v>0.74210947680157946</v>
      </c>
      <c r="F15" s="3">
        <v>0.7409</v>
      </c>
      <c r="G15" s="3" t="s">
        <v>11</v>
      </c>
      <c r="H15" s="3" t="s">
        <v>11</v>
      </c>
      <c r="I15" s="3">
        <v>0</v>
      </c>
    </row>
    <row r="16" spans="1:9" x14ac:dyDescent="0.25">
      <c r="A16" s="1" t="s">
        <v>25</v>
      </c>
      <c r="B16" s="3" t="s">
        <v>10</v>
      </c>
      <c r="C16" s="3">
        <v>0.81130000000000002</v>
      </c>
      <c r="D16" s="3">
        <v>0.19170000000000001</v>
      </c>
      <c r="E16" s="3">
        <v>0.80871796643632765</v>
      </c>
      <c r="F16" s="3">
        <v>0.8044</v>
      </c>
      <c r="G16" s="3" t="s">
        <v>11</v>
      </c>
      <c r="H16" s="3" t="s">
        <v>11</v>
      </c>
      <c r="I16" s="3">
        <v>0</v>
      </c>
    </row>
    <row r="17" spans="1:9" x14ac:dyDescent="0.25">
      <c r="A17" s="1" t="s">
        <v>26</v>
      </c>
      <c r="B17" s="3" t="s">
        <v>10</v>
      </c>
      <c r="C17" s="3">
        <v>0.96609999999999996</v>
      </c>
      <c r="D17" s="3">
        <v>9.1700000000000004E-2</v>
      </c>
      <c r="E17" s="3">
        <v>0.95992467917077984</v>
      </c>
      <c r="F17" s="3">
        <v>0.95709999999999995</v>
      </c>
      <c r="G17" s="3" t="s">
        <v>11</v>
      </c>
      <c r="H17" s="3" t="s">
        <v>11</v>
      </c>
      <c r="I17" s="3">
        <v>0</v>
      </c>
    </row>
    <row r="18" spans="1:9" x14ac:dyDescent="0.25">
      <c r="A18" s="1" t="s">
        <v>27</v>
      </c>
      <c r="B18" s="3" t="s">
        <v>10</v>
      </c>
      <c r="C18" s="3">
        <v>0.35570000000000002</v>
      </c>
      <c r="D18" s="3">
        <v>5.0000000000000001E-3</v>
      </c>
      <c r="E18" s="3">
        <v>0.34486465942744321</v>
      </c>
      <c r="F18" s="3">
        <v>0.33860000000000001</v>
      </c>
      <c r="G18" s="3" t="s">
        <v>11</v>
      </c>
      <c r="H18" s="3" t="s">
        <v>11</v>
      </c>
      <c r="I18" s="3">
        <v>0</v>
      </c>
    </row>
    <row r="19" spans="1:9" x14ac:dyDescent="0.25">
      <c r="A19" s="1" t="s">
        <v>28</v>
      </c>
      <c r="B19" s="3" t="s">
        <v>10</v>
      </c>
      <c r="C19" s="3">
        <v>0.67889999999999995</v>
      </c>
      <c r="D19" s="3">
        <v>5.0000000000000001E-3</v>
      </c>
      <c r="E19" s="3">
        <v>0.66392043435340575</v>
      </c>
      <c r="F19" s="3">
        <v>0.6623</v>
      </c>
      <c r="G19" s="3" t="s">
        <v>11</v>
      </c>
      <c r="H19" s="3" t="s">
        <v>11</v>
      </c>
      <c r="I19" s="3">
        <v>0</v>
      </c>
    </row>
    <row r="20" spans="1:9" x14ac:dyDescent="0.25">
      <c r="A20" s="1" t="s">
        <v>29</v>
      </c>
      <c r="B20" s="3" t="s">
        <v>10</v>
      </c>
      <c r="C20" s="3">
        <v>0.87829999999999997</v>
      </c>
      <c r="D20" s="3">
        <v>5.0000000000000001E-3</v>
      </c>
      <c r="E20" s="3">
        <v>0.87285123395853903</v>
      </c>
      <c r="F20" s="3">
        <v>0.8629</v>
      </c>
      <c r="G20" s="3" t="s">
        <v>11</v>
      </c>
      <c r="H20" s="3" t="s">
        <v>11</v>
      </c>
      <c r="I20" s="3">
        <v>0</v>
      </c>
    </row>
    <row r="23" spans="1:9" x14ac:dyDescent="0.25">
      <c r="B23" s="5" t="s">
        <v>50</v>
      </c>
      <c r="C23" s="5" t="s">
        <v>51</v>
      </c>
      <c r="D23" s="5" t="s">
        <v>52</v>
      </c>
      <c r="E23" s="5" t="s">
        <v>53</v>
      </c>
      <c r="F23" s="5" t="s">
        <v>54</v>
      </c>
      <c r="G23" s="5" t="s">
        <v>55</v>
      </c>
    </row>
    <row r="24" spans="1:9" x14ac:dyDescent="0.25">
      <c r="B24" s="8">
        <f>MAX(C2:C20)</f>
        <v>0.96609999999999996</v>
      </c>
      <c r="C24" s="8" t="str">
        <f>INDEX(Tabla3[Maquina],MATCH(B24,Tabla3[I_max '[pu']],0))</f>
        <v>Nueva Renca</v>
      </c>
      <c r="D24" s="8">
        <f>INDEX(Tabla3[I_max en t '[s']],MATCH(B24,Tabla3[I_max '[pu']],0))</f>
        <v>9.1700000000000004E-2</v>
      </c>
      <c r="E24" s="8">
        <f>COUNTIF(G2:G20,"Si")</f>
        <v>0</v>
      </c>
      <c r="F24" s="8">
        <f>COUNTIF(H2:H20,"Si")</f>
        <v>0</v>
      </c>
      <c r="G24" s="9">
        <f>AVERAGE(Tabla3[I_max '[pu']])</f>
        <v>0.71876842105263161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BD8D-CEB0-4FB8-AF3E-6805399D5DF6}">
  <dimension ref="A1:I24"/>
  <sheetViews>
    <sheetView workbookViewId="0">
      <selection activeCell="B24" sqref="B24:G24"/>
    </sheetView>
  </sheetViews>
  <sheetFormatPr baseColWidth="10" defaultRowHeight="15" x14ac:dyDescent="0.25"/>
  <cols>
    <col min="1" max="1" width="19.7109375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" t="s">
        <v>30</v>
      </c>
      <c r="B2" s="4" t="s">
        <v>31</v>
      </c>
      <c r="C2" s="4">
        <v>0.79039999999999999</v>
      </c>
      <c r="D2" s="4">
        <v>1.3416999999999999</v>
      </c>
      <c r="E2" s="4">
        <v>0.77621875616979275</v>
      </c>
      <c r="F2" s="4">
        <v>0.752</v>
      </c>
      <c r="G2" s="4" t="s">
        <v>11</v>
      </c>
      <c r="H2" s="4" t="s">
        <v>11</v>
      </c>
      <c r="I2" s="4">
        <v>0</v>
      </c>
    </row>
    <row r="3" spans="1:9" x14ac:dyDescent="0.25">
      <c r="A3" s="1" t="s">
        <v>32</v>
      </c>
      <c r="B3" s="4" t="s">
        <v>31</v>
      </c>
      <c r="C3" s="4">
        <v>0.68540000000000001</v>
      </c>
      <c r="D3" s="4">
        <v>1.3416999999999999</v>
      </c>
      <c r="E3" s="4">
        <v>0.6712998025666338</v>
      </c>
      <c r="F3" s="4">
        <v>0.6472</v>
      </c>
      <c r="G3" s="4" t="s">
        <v>11</v>
      </c>
      <c r="H3" s="4" t="s">
        <v>11</v>
      </c>
      <c r="I3" s="4">
        <v>0</v>
      </c>
    </row>
    <row r="4" spans="1:9" x14ac:dyDescent="0.25">
      <c r="A4" s="1" t="s">
        <v>33</v>
      </c>
      <c r="B4" s="4" t="s">
        <v>31</v>
      </c>
      <c r="C4" s="4">
        <v>0.37490000000000001</v>
      </c>
      <c r="D4" s="4">
        <v>1.4117</v>
      </c>
      <c r="E4" s="4">
        <v>0.36306929911154978</v>
      </c>
      <c r="F4" s="4">
        <v>0.34089999999999998</v>
      </c>
      <c r="G4" s="4" t="s">
        <v>11</v>
      </c>
      <c r="H4" s="4" t="s">
        <v>11</v>
      </c>
      <c r="I4" s="4">
        <v>0</v>
      </c>
    </row>
    <row r="5" spans="1:9" x14ac:dyDescent="0.25">
      <c r="A5" s="1" t="s">
        <v>34</v>
      </c>
      <c r="B5" s="4" t="s">
        <v>31</v>
      </c>
      <c r="C5" s="4">
        <v>0.79020000000000001</v>
      </c>
      <c r="D5" s="4">
        <v>1.3416999999999999</v>
      </c>
      <c r="E5" s="4">
        <v>0.77601184600197426</v>
      </c>
      <c r="F5" s="4">
        <v>0.75180000000000002</v>
      </c>
      <c r="G5" s="4" t="s">
        <v>11</v>
      </c>
      <c r="H5" s="4" t="s">
        <v>11</v>
      </c>
      <c r="I5" s="4">
        <v>0</v>
      </c>
    </row>
    <row r="6" spans="1:9" x14ac:dyDescent="0.25">
      <c r="A6" s="1" t="s">
        <v>35</v>
      </c>
      <c r="B6" s="4" t="s">
        <v>31</v>
      </c>
      <c r="C6" s="4">
        <v>0.78910000000000002</v>
      </c>
      <c r="D6" s="4">
        <v>1.3117000000000001</v>
      </c>
      <c r="E6" s="4">
        <v>0.77639072063178671</v>
      </c>
      <c r="F6" s="4">
        <v>0.75390000000000001</v>
      </c>
      <c r="G6" s="4" t="s">
        <v>11</v>
      </c>
      <c r="H6" s="4" t="s">
        <v>11</v>
      </c>
      <c r="I6" s="4">
        <v>0</v>
      </c>
    </row>
    <row r="7" spans="1:9" x14ac:dyDescent="0.25">
      <c r="A7" s="1" t="s">
        <v>36</v>
      </c>
      <c r="B7" s="4" t="s">
        <v>31</v>
      </c>
      <c r="C7" s="4">
        <v>0.8135</v>
      </c>
      <c r="D7" s="4">
        <v>1.4417</v>
      </c>
      <c r="E7" s="4">
        <v>0.80341974333662391</v>
      </c>
      <c r="F7" s="4">
        <v>0.78390000000000004</v>
      </c>
      <c r="G7" s="4" t="s">
        <v>11</v>
      </c>
      <c r="H7" s="4" t="s">
        <v>11</v>
      </c>
      <c r="I7" s="4">
        <v>0</v>
      </c>
    </row>
    <row r="8" spans="1:9" x14ac:dyDescent="0.25">
      <c r="A8" s="1" t="s">
        <v>37</v>
      </c>
      <c r="B8" s="4" t="s">
        <v>31</v>
      </c>
      <c r="C8" s="4">
        <v>0.47049999999999997</v>
      </c>
      <c r="D8" s="4">
        <v>1.3916999999999999</v>
      </c>
      <c r="E8" s="4">
        <v>0.46102645607107612</v>
      </c>
      <c r="F8" s="4">
        <v>0.44269999999999998</v>
      </c>
      <c r="G8" s="4" t="s">
        <v>11</v>
      </c>
      <c r="H8" s="4" t="s">
        <v>11</v>
      </c>
      <c r="I8" s="4">
        <v>0</v>
      </c>
    </row>
    <row r="9" spans="1:9" x14ac:dyDescent="0.25">
      <c r="A9" s="1" t="s">
        <v>38</v>
      </c>
      <c r="B9" s="4" t="s">
        <v>31</v>
      </c>
      <c r="C9" s="4">
        <v>0.87539999999999996</v>
      </c>
      <c r="D9" s="4">
        <v>1.3916999999999999</v>
      </c>
      <c r="E9" s="4">
        <v>0.8627968410661403</v>
      </c>
      <c r="F9" s="4">
        <v>0.83909999999999996</v>
      </c>
      <c r="G9" s="4" t="s">
        <v>11</v>
      </c>
      <c r="H9" s="4" t="s">
        <v>11</v>
      </c>
      <c r="I9" s="4">
        <v>0</v>
      </c>
    </row>
    <row r="10" spans="1:9" x14ac:dyDescent="0.25">
      <c r="A10" s="1" t="s">
        <v>39</v>
      </c>
      <c r="B10" s="4" t="s">
        <v>31</v>
      </c>
      <c r="C10" s="4">
        <v>0.33889999999999998</v>
      </c>
      <c r="D10" s="4">
        <v>1.6617</v>
      </c>
      <c r="E10" s="4">
        <v>0.32777462981243832</v>
      </c>
      <c r="F10" s="4">
        <v>0.30170000000000002</v>
      </c>
      <c r="G10" s="4" t="s">
        <v>11</v>
      </c>
      <c r="H10" s="4" t="s">
        <v>11</v>
      </c>
      <c r="I10" s="4">
        <v>0</v>
      </c>
    </row>
    <row r="11" spans="1:9" x14ac:dyDescent="0.25">
      <c r="A11" s="1" t="s">
        <v>40</v>
      </c>
      <c r="B11" s="4" t="s">
        <v>31</v>
      </c>
      <c r="C11" s="4">
        <v>0.84309999999999996</v>
      </c>
      <c r="D11" s="4">
        <v>1.6817</v>
      </c>
      <c r="E11" s="4">
        <v>0.83351569595261599</v>
      </c>
      <c r="F11" s="4">
        <v>0.81069999999999998</v>
      </c>
      <c r="G11" s="4" t="s">
        <v>11</v>
      </c>
      <c r="H11" s="4" t="s">
        <v>11</v>
      </c>
      <c r="I11" s="4">
        <v>0</v>
      </c>
    </row>
    <row r="12" spans="1:9" x14ac:dyDescent="0.25">
      <c r="A12" s="1" t="s">
        <v>41</v>
      </c>
      <c r="B12" s="4" t="s">
        <v>31</v>
      </c>
      <c r="C12" s="4">
        <v>0.60429999999999995</v>
      </c>
      <c r="D12" s="4">
        <v>1.6516999999999999</v>
      </c>
      <c r="E12" s="4">
        <v>0.59785705824284308</v>
      </c>
      <c r="F12" s="4">
        <v>0.58020000000000005</v>
      </c>
      <c r="G12" s="4" t="s">
        <v>11</v>
      </c>
      <c r="H12" s="4" t="s">
        <v>11</v>
      </c>
      <c r="I12" s="4">
        <v>0</v>
      </c>
    </row>
    <row r="13" spans="1:9" x14ac:dyDescent="0.25">
      <c r="A13" s="1" t="s">
        <v>42</v>
      </c>
      <c r="B13" s="4" t="s">
        <v>31</v>
      </c>
      <c r="C13" s="4">
        <v>0.88819999999999999</v>
      </c>
      <c r="D13" s="4">
        <v>1.4417</v>
      </c>
      <c r="E13" s="4">
        <v>0.87634294175715688</v>
      </c>
      <c r="F13" s="4">
        <v>0.85389999999999999</v>
      </c>
      <c r="G13" s="4" t="s">
        <v>11</v>
      </c>
      <c r="H13" s="4" t="s">
        <v>11</v>
      </c>
      <c r="I13" s="4">
        <v>0</v>
      </c>
    </row>
    <row r="14" spans="1:9" x14ac:dyDescent="0.25">
      <c r="A14" s="1" t="s">
        <v>43</v>
      </c>
      <c r="B14" s="4" t="s">
        <v>31</v>
      </c>
      <c r="C14" s="4">
        <v>0.79159999999999997</v>
      </c>
      <c r="D14" s="4">
        <v>1.6316999999999999</v>
      </c>
      <c r="E14" s="4">
        <v>0.78437068114511366</v>
      </c>
      <c r="F14" s="4">
        <v>0.7611</v>
      </c>
      <c r="G14" s="4" t="s">
        <v>11</v>
      </c>
      <c r="H14" s="4" t="s">
        <v>11</v>
      </c>
      <c r="I14" s="4">
        <v>0</v>
      </c>
    </row>
    <row r="15" spans="1:9" x14ac:dyDescent="0.25">
      <c r="A15" s="1" t="s">
        <v>44</v>
      </c>
      <c r="B15" s="4" t="s">
        <v>31</v>
      </c>
      <c r="C15" s="4">
        <v>0.77669999999999995</v>
      </c>
      <c r="D15" s="4">
        <v>1.6516999999999999</v>
      </c>
      <c r="E15" s="4">
        <v>0.76659180651530112</v>
      </c>
      <c r="F15" s="4">
        <v>0.74129999999999996</v>
      </c>
      <c r="G15" s="4" t="s">
        <v>11</v>
      </c>
      <c r="H15" s="4" t="s">
        <v>11</v>
      </c>
      <c r="I15" s="4">
        <v>0</v>
      </c>
    </row>
    <row r="16" spans="1:9" x14ac:dyDescent="0.25">
      <c r="A16" s="1" t="s">
        <v>25</v>
      </c>
      <c r="B16" s="4" t="s">
        <v>10</v>
      </c>
      <c r="C16" s="4">
        <v>0.83840000000000003</v>
      </c>
      <c r="D16" s="4">
        <v>0.1017</v>
      </c>
      <c r="E16" s="4">
        <v>0.83414639684106628</v>
      </c>
      <c r="F16" s="4">
        <v>0.83099999999999996</v>
      </c>
      <c r="G16" s="4" t="s">
        <v>11</v>
      </c>
      <c r="H16" s="4" t="s">
        <v>11</v>
      </c>
      <c r="I16" s="4">
        <v>0</v>
      </c>
    </row>
    <row r="17" spans="1:9" x14ac:dyDescent="0.25">
      <c r="A17" s="1" t="s">
        <v>26</v>
      </c>
      <c r="B17" s="4" t="s">
        <v>10</v>
      </c>
      <c r="C17" s="4">
        <v>0.98029999999999995</v>
      </c>
      <c r="D17" s="4">
        <v>4.1700000000000001E-2</v>
      </c>
      <c r="E17" s="4">
        <v>0.97487759131293183</v>
      </c>
      <c r="F17" s="4">
        <v>0.97199999999999998</v>
      </c>
      <c r="G17" s="4" t="s">
        <v>11</v>
      </c>
      <c r="H17" s="4" t="s">
        <v>11</v>
      </c>
      <c r="I17" s="4">
        <v>0</v>
      </c>
    </row>
    <row r="18" spans="1:9" x14ac:dyDescent="0.25">
      <c r="A18" s="1" t="s">
        <v>27</v>
      </c>
      <c r="B18" s="4" t="s">
        <v>10</v>
      </c>
      <c r="C18" s="4">
        <v>0.36070000000000002</v>
      </c>
      <c r="D18" s="4">
        <v>5.0000000000000001E-3</v>
      </c>
      <c r="E18" s="4">
        <v>0.34871816386969401</v>
      </c>
      <c r="F18" s="4">
        <v>0.34379999999999999</v>
      </c>
      <c r="G18" s="4" t="s">
        <v>11</v>
      </c>
      <c r="H18" s="4" t="s">
        <v>11</v>
      </c>
      <c r="I18" s="4">
        <v>0</v>
      </c>
    </row>
    <row r="19" spans="1:9" x14ac:dyDescent="0.25">
      <c r="A19" s="1" t="s">
        <v>28</v>
      </c>
      <c r="B19" s="4" t="s">
        <v>10</v>
      </c>
      <c r="C19" s="4">
        <v>0.70679999999999998</v>
      </c>
      <c r="D19" s="4">
        <v>5.0000000000000001E-3</v>
      </c>
      <c r="E19" s="4">
        <v>0.69234027640671281</v>
      </c>
      <c r="F19" s="4">
        <v>0.69110000000000005</v>
      </c>
      <c r="G19" s="4" t="s">
        <v>11</v>
      </c>
      <c r="H19" s="4" t="s">
        <v>11</v>
      </c>
      <c r="I19" s="4">
        <v>0</v>
      </c>
    </row>
    <row r="20" spans="1:9" x14ac:dyDescent="0.25">
      <c r="A20" s="1" t="s">
        <v>29</v>
      </c>
      <c r="B20" s="4" t="s">
        <v>10</v>
      </c>
      <c r="C20" s="4">
        <v>0.87760000000000005</v>
      </c>
      <c r="D20" s="4">
        <v>5.0000000000000001E-3</v>
      </c>
      <c r="E20" s="4">
        <v>0.87124935834155981</v>
      </c>
      <c r="F20" s="4">
        <v>0.8629</v>
      </c>
      <c r="G20" s="4" t="s">
        <v>11</v>
      </c>
      <c r="H20" s="4" t="s">
        <v>11</v>
      </c>
      <c r="I20" s="4">
        <v>0</v>
      </c>
    </row>
    <row r="23" spans="1:9" x14ac:dyDescent="0.25">
      <c r="B23" s="5" t="s">
        <v>50</v>
      </c>
      <c r="C23" s="5" t="s">
        <v>51</v>
      </c>
      <c r="D23" s="5" t="s">
        <v>52</v>
      </c>
      <c r="E23" s="5" t="s">
        <v>53</v>
      </c>
      <c r="F23" s="5" t="s">
        <v>54</v>
      </c>
      <c r="G23" s="5" t="s">
        <v>55</v>
      </c>
    </row>
    <row r="24" spans="1:9" x14ac:dyDescent="0.25">
      <c r="B24" s="8">
        <f>MAX(C2:C20)</f>
        <v>0.98029999999999995</v>
      </c>
      <c r="C24" s="8" t="str">
        <f>INDEX(Tabla4[Maquina],MATCH(B24,Tabla4[I_max '[pu']],0))</f>
        <v>Nueva Renca</v>
      </c>
      <c r="D24" s="8">
        <f>INDEX(Tabla4[I_max en t '[s']],MATCH(B24,Tabla4[I_max '[pu']],0))</f>
        <v>4.1700000000000001E-2</v>
      </c>
      <c r="E24" s="8">
        <f>COUNTIF(G2:G20,"Si")</f>
        <v>0</v>
      </c>
      <c r="F24" s="8">
        <f>COUNTIF(H2:H20,"Si")</f>
        <v>0</v>
      </c>
      <c r="G24" s="9">
        <f>AVERAGE(Tabla4[I_max '[pu']])</f>
        <v>0.71557894736842098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215A-60DD-4DD6-B1A6-1F9C9BAAF835}">
  <dimension ref="A1:I24"/>
  <sheetViews>
    <sheetView workbookViewId="0">
      <selection activeCell="B24" sqref="B24:G24"/>
    </sheetView>
  </sheetViews>
  <sheetFormatPr baseColWidth="10" defaultRowHeight="15" x14ac:dyDescent="0.25"/>
  <cols>
    <col min="1" max="1" width="19.7109375" bestFit="1" customWidth="1"/>
    <col min="2" max="2" width="15.140625" bestFit="1" customWidth="1"/>
    <col min="3" max="3" width="15" bestFit="1" customWidth="1"/>
    <col min="4" max="4" width="17.42578125" bestFit="1" customWidth="1"/>
    <col min="5" max="5" width="16.28515625" bestFit="1" customWidth="1"/>
    <col min="6" max="6" width="14.7109375" bestFit="1" customWidth="1"/>
    <col min="7" max="7" width="25.28515625" bestFit="1" customWidth="1"/>
    <col min="8" max="8" width="23.42578125" bestFit="1" customWidth="1"/>
    <col min="9" max="9" width="26.42578125" bestFit="1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" t="s">
        <v>30</v>
      </c>
      <c r="B2" s="5" t="s">
        <v>31</v>
      </c>
      <c r="C2" s="5">
        <v>0.76900000000000002</v>
      </c>
      <c r="D2" s="5">
        <v>1.2017</v>
      </c>
      <c r="E2" s="5">
        <v>0.76276367226061204</v>
      </c>
      <c r="F2" s="5">
        <v>0.752</v>
      </c>
      <c r="G2" s="5" t="s">
        <v>11</v>
      </c>
      <c r="H2" s="5" t="s">
        <v>11</v>
      </c>
      <c r="I2" s="5">
        <v>0</v>
      </c>
    </row>
    <row r="3" spans="1:9" x14ac:dyDescent="0.25">
      <c r="A3" s="1" t="s">
        <v>32</v>
      </c>
      <c r="B3" s="5" t="s">
        <v>31</v>
      </c>
      <c r="C3" s="5">
        <v>0.66410000000000002</v>
      </c>
      <c r="D3" s="5">
        <v>1.1617</v>
      </c>
      <c r="E3" s="5">
        <v>0.65793494570582434</v>
      </c>
      <c r="F3" s="5">
        <v>0.6472</v>
      </c>
      <c r="G3" s="5" t="s">
        <v>11</v>
      </c>
      <c r="H3" s="5" t="s">
        <v>11</v>
      </c>
      <c r="I3" s="5">
        <v>0</v>
      </c>
    </row>
    <row r="4" spans="1:9" x14ac:dyDescent="0.25">
      <c r="A4" s="1" t="s">
        <v>33</v>
      </c>
      <c r="B4" s="5" t="s">
        <v>31</v>
      </c>
      <c r="C4" s="5">
        <v>0.35570000000000002</v>
      </c>
      <c r="D4" s="5">
        <v>1.2717000000000001</v>
      </c>
      <c r="E4" s="5">
        <v>0.35071164856860809</v>
      </c>
      <c r="F4" s="5">
        <v>0.34089999999999998</v>
      </c>
      <c r="G4" s="5" t="s">
        <v>11</v>
      </c>
      <c r="H4" s="5" t="s">
        <v>11</v>
      </c>
      <c r="I4" s="5">
        <v>0</v>
      </c>
    </row>
    <row r="5" spans="1:9" x14ac:dyDescent="0.25">
      <c r="A5" s="1" t="s">
        <v>34</v>
      </c>
      <c r="B5" s="5" t="s">
        <v>31</v>
      </c>
      <c r="C5" s="5">
        <v>0.76870000000000005</v>
      </c>
      <c r="D5" s="5">
        <v>1.1516999999999999</v>
      </c>
      <c r="E5" s="5">
        <v>0.76255261599210256</v>
      </c>
      <c r="F5" s="5">
        <v>0.75180000000000002</v>
      </c>
      <c r="G5" s="5" t="s">
        <v>11</v>
      </c>
      <c r="H5" s="5" t="s">
        <v>11</v>
      </c>
      <c r="I5" s="5">
        <v>0</v>
      </c>
    </row>
    <row r="6" spans="1:9" x14ac:dyDescent="0.25">
      <c r="A6" s="1" t="s">
        <v>35</v>
      </c>
      <c r="B6" s="5" t="s">
        <v>31</v>
      </c>
      <c r="C6" s="5">
        <v>0.76949999999999996</v>
      </c>
      <c r="D6" s="5">
        <v>1.1917</v>
      </c>
      <c r="E6" s="5">
        <v>0.76389693978282314</v>
      </c>
      <c r="F6" s="5">
        <v>0.75390000000000001</v>
      </c>
      <c r="G6" s="5" t="s">
        <v>11</v>
      </c>
      <c r="H6" s="5" t="s">
        <v>11</v>
      </c>
      <c r="I6" s="5">
        <v>0</v>
      </c>
    </row>
    <row r="7" spans="1:9" x14ac:dyDescent="0.25">
      <c r="A7" s="1" t="s">
        <v>36</v>
      </c>
      <c r="B7" s="5" t="s">
        <v>31</v>
      </c>
      <c r="C7" s="5">
        <v>0.79669999999999996</v>
      </c>
      <c r="D7" s="5">
        <v>1.2517</v>
      </c>
      <c r="E7" s="5">
        <v>0.79256495557749262</v>
      </c>
      <c r="F7" s="5">
        <v>0.78390000000000004</v>
      </c>
      <c r="G7" s="5" t="s">
        <v>11</v>
      </c>
      <c r="H7" s="5" t="s">
        <v>11</v>
      </c>
      <c r="I7" s="5">
        <v>0</v>
      </c>
    </row>
    <row r="8" spans="1:9" x14ac:dyDescent="0.25">
      <c r="A8" s="1" t="s">
        <v>37</v>
      </c>
      <c r="B8" s="5" t="s">
        <v>31</v>
      </c>
      <c r="C8" s="5">
        <v>0.4546</v>
      </c>
      <c r="D8" s="5">
        <v>1.2517</v>
      </c>
      <c r="E8" s="5">
        <v>0.45079575518262582</v>
      </c>
      <c r="F8" s="5">
        <v>0.44269999999999998</v>
      </c>
      <c r="G8" s="5" t="s">
        <v>11</v>
      </c>
      <c r="H8" s="5" t="s">
        <v>11</v>
      </c>
      <c r="I8" s="5">
        <v>0</v>
      </c>
    </row>
    <row r="9" spans="1:9" x14ac:dyDescent="0.25">
      <c r="A9" s="1" t="s">
        <v>38</v>
      </c>
      <c r="B9" s="5" t="s">
        <v>31</v>
      </c>
      <c r="C9" s="5">
        <v>0.85509999999999997</v>
      </c>
      <c r="D9" s="5">
        <v>1.2817000000000001</v>
      </c>
      <c r="E9" s="5">
        <v>0.84962724580454085</v>
      </c>
      <c r="F9" s="5">
        <v>0.83909999999999996</v>
      </c>
      <c r="G9" s="5" t="s">
        <v>11</v>
      </c>
      <c r="H9" s="5" t="s">
        <v>11</v>
      </c>
      <c r="I9" s="5">
        <v>0</v>
      </c>
    </row>
    <row r="10" spans="1:9" x14ac:dyDescent="0.25">
      <c r="A10" s="1" t="s">
        <v>39</v>
      </c>
      <c r="B10" s="5" t="s">
        <v>31</v>
      </c>
      <c r="C10" s="5">
        <v>0.3155</v>
      </c>
      <c r="D10" s="5">
        <v>1.5217000000000001</v>
      </c>
      <c r="E10" s="5">
        <v>0.31311243830207308</v>
      </c>
      <c r="F10" s="5">
        <v>0.30170000000000002</v>
      </c>
      <c r="G10" s="5" t="s">
        <v>11</v>
      </c>
      <c r="H10" s="5" t="s">
        <v>11</v>
      </c>
      <c r="I10" s="5">
        <v>0</v>
      </c>
    </row>
    <row r="11" spans="1:9" x14ac:dyDescent="0.25">
      <c r="A11" s="1" t="s">
        <v>40</v>
      </c>
      <c r="B11" s="5" t="s">
        <v>31</v>
      </c>
      <c r="C11" s="5">
        <v>0.8266</v>
      </c>
      <c r="D11" s="5">
        <v>5.0000000000000001E-3</v>
      </c>
      <c r="E11" s="5">
        <v>0.82397314906219155</v>
      </c>
      <c r="F11" s="5">
        <v>0.81069999999999998</v>
      </c>
      <c r="G11" s="5" t="s">
        <v>11</v>
      </c>
      <c r="H11" s="5" t="s">
        <v>11</v>
      </c>
      <c r="I11" s="5">
        <v>0</v>
      </c>
    </row>
    <row r="12" spans="1:9" x14ac:dyDescent="0.25">
      <c r="A12" s="1" t="s">
        <v>41</v>
      </c>
      <c r="B12" s="5" t="s">
        <v>31</v>
      </c>
      <c r="C12" s="5">
        <v>0.59399999999999997</v>
      </c>
      <c r="D12" s="5">
        <v>5.0000000000000001E-3</v>
      </c>
      <c r="E12" s="5">
        <v>0.59077374136229033</v>
      </c>
      <c r="F12" s="5">
        <v>0.58020000000000005</v>
      </c>
      <c r="G12" s="5" t="s">
        <v>11</v>
      </c>
      <c r="H12" s="5" t="s">
        <v>11</v>
      </c>
      <c r="I12" s="5">
        <v>0</v>
      </c>
    </row>
    <row r="13" spans="1:9" x14ac:dyDescent="0.25">
      <c r="A13" s="1" t="s">
        <v>42</v>
      </c>
      <c r="B13" s="5" t="s">
        <v>31</v>
      </c>
      <c r="C13" s="5">
        <v>0.86890000000000001</v>
      </c>
      <c r="D13" s="5">
        <v>1.2817000000000001</v>
      </c>
      <c r="E13" s="5">
        <v>0.86385824284304058</v>
      </c>
      <c r="F13" s="5">
        <v>0.85389999999999999</v>
      </c>
      <c r="G13" s="5" t="s">
        <v>11</v>
      </c>
      <c r="H13" s="5" t="s">
        <v>11</v>
      </c>
      <c r="I13" s="5">
        <v>0</v>
      </c>
    </row>
    <row r="14" spans="1:9" x14ac:dyDescent="0.25">
      <c r="A14" s="1" t="s">
        <v>43</v>
      </c>
      <c r="B14" s="5" t="s">
        <v>31</v>
      </c>
      <c r="C14" s="5">
        <v>0.7722</v>
      </c>
      <c r="D14" s="5">
        <v>3.8917000000000002</v>
      </c>
      <c r="E14" s="5">
        <v>0.77101470878578482</v>
      </c>
      <c r="F14" s="5">
        <v>0.7611</v>
      </c>
      <c r="G14" s="5" t="s">
        <v>11</v>
      </c>
      <c r="H14" s="5" t="s">
        <v>11</v>
      </c>
      <c r="I14" s="5">
        <v>0</v>
      </c>
    </row>
    <row r="15" spans="1:9" x14ac:dyDescent="0.25">
      <c r="A15" s="1" t="s">
        <v>44</v>
      </c>
      <c r="B15" s="5" t="s">
        <v>31</v>
      </c>
      <c r="C15" s="5">
        <v>0.75609999999999999</v>
      </c>
      <c r="D15" s="5">
        <v>5.0000000000000001E-3</v>
      </c>
      <c r="E15" s="5">
        <v>0.7536789733464957</v>
      </c>
      <c r="F15" s="5">
        <v>0.74129999999999996</v>
      </c>
      <c r="G15" s="5" t="s">
        <v>11</v>
      </c>
      <c r="H15" s="5" t="s">
        <v>11</v>
      </c>
      <c r="I15" s="5">
        <v>0</v>
      </c>
    </row>
    <row r="16" spans="1:9" x14ac:dyDescent="0.25">
      <c r="A16" s="1" t="s">
        <v>45</v>
      </c>
      <c r="B16" s="5" t="s">
        <v>31</v>
      </c>
      <c r="C16" s="5">
        <v>0.84289999999999998</v>
      </c>
      <c r="D16" s="5">
        <v>2.1116999999999999</v>
      </c>
      <c r="E16" s="5">
        <v>0.8421831194471866</v>
      </c>
      <c r="F16" s="5">
        <v>0.83389999999999997</v>
      </c>
      <c r="G16" s="5" t="s">
        <v>11</v>
      </c>
      <c r="H16" s="5" t="s">
        <v>11</v>
      </c>
      <c r="I16" s="5">
        <v>0</v>
      </c>
    </row>
    <row r="17" spans="1:9" x14ac:dyDescent="0.25">
      <c r="A17" s="1" t="s">
        <v>46</v>
      </c>
      <c r="B17" s="5" t="s">
        <v>31</v>
      </c>
      <c r="C17" s="5">
        <v>0.98540000000000005</v>
      </c>
      <c r="D17" s="5">
        <v>1.4117</v>
      </c>
      <c r="E17" s="5">
        <v>0.98325330700888458</v>
      </c>
      <c r="F17" s="5">
        <v>0.97199999999999998</v>
      </c>
      <c r="G17" s="5" t="s">
        <v>11</v>
      </c>
      <c r="H17" s="5" t="s">
        <v>11</v>
      </c>
      <c r="I17" s="5">
        <v>0</v>
      </c>
    </row>
    <row r="18" spans="1:9" x14ac:dyDescent="0.25">
      <c r="A18" s="1" t="s">
        <v>47</v>
      </c>
      <c r="B18" s="5" t="s">
        <v>31</v>
      </c>
      <c r="C18" s="5">
        <v>0.36230000000000001</v>
      </c>
      <c r="D18" s="5">
        <v>5.0000000000000001E-3</v>
      </c>
      <c r="E18" s="5">
        <v>0.35623859822309972</v>
      </c>
      <c r="F18" s="5">
        <v>0.34379999999999999</v>
      </c>
      <c r="G18" s="5" t="s">
        <v>11</v>
      </c>
      <c r="H18" s="5" t="s">
        <v>11</v>
      </c>
      <c r="I18" s="5">
        <v>0</v>
      </c>
    </row>
    <row r="19" spans="1:9" x14ac:dyDescent="0.25">
      <c r="A19" s="1" t="s">
        <v>48</v>
      </c>
      <c r="B19" s="5" t="s">
        <v>31</v>
      </c>
      <c r="C19" s="5">
        <v>0.70730000000000004</v>
      </c>
      <c r="D19" s="5">
        <v>5.0000000000000001E-3</v>
      </c>
      <c r="E19" s="5">
        <v>0.70426179664363275</v>
      </c>
      <c r="F19" s="5">
        <v>0.69199999999999995</v>
      </c>
      <c r="G19" s="5" t="s">
        <v>11</v>
      </c>
      <c r="H19" s="5" t="s">
        <v>11</v>
      </c>
      <c r="I19" s="5">
        <v>0</v>
      </c>
    </row>
    <row r="20" spans="1:9" x14ac:dyDescent="0.25">
      <c r="A20" s="1" t="s">
        <v>49</v>
      </c>
      <c r="B20" s="5" t="s">
        <v>31</v>
      </c>
      <c r="C20" s="5">
        <v>0.87880000000000003</v>
      </c>
      <c r="D20" s="5">
        <v>5.0000000000000001E-3</v>
      </c>
      <c r="E20" s="5">
        <v>0.87615054294175698</v>
      </c>
      <c r="F20" s="5">
        <v>0.8629</v>
      </c>
      <c r="G20" s="5" t="s">
        <v>11</v>
      </c>
      <c r="H20" s="5" t="s">
        <v>11</v>
      </c>
      <c r="I20" s="5">
        <v>0</v>
      </c>
    </row>
    <row r="23" spans="1:9" x14ac:dyDescent="0.25">
      <c r="B23" s="5" t="s">
        <v>50</v>
      </c>
      <c r="C23" s="5" t="s">
        <v>51</v>
      </c>
      <c r="D23" s="5" t="s">
        <v>52</v>
      </c>
      <c r="E23" s="5" t="s">
        <v>53</v>
      </c>
      <c r="F23" s="5" t="s">
        <v>54</v>
      </c>
      <c r="G23" s="5" t="s">
        <v>55</v>
      </c>
    </row>
    <row r="24" spans="1:9" x14ac:dyDescent="0.25">
      <c r="B24" s="8">
        <f>MAX(C2:C20)</f>
        <v>0.98540000000000005</v>
      </c>
      <c r="C24" s="8" t="str">
        <f>INDEX(Tabla5[Maquina],MATCH(B24,Tabla5[I_max '[pu']],0))</f>
        <v>GFM Nueva Renca</v>
      </c>
      <c r="D24" s="8">
        <f>INDEX(Tabla5[I_max en t '[s']],MATCH(B24,Tabla5[I_max '[pu']],0))</f>
        <v>1.4117</v>
      </c>
      <c r="E24" s="8">
        <f>COUNTIF(G2:G20,"Si")</f>
        <v>0</v>
      </c>
      <c r="F24" s="8">
        <f>COUNTIF(H2:H20,"Si")</f>
        <v>0</v>
      </c>
      <c r="G24" s="9">
        <f>AVERAGE(Tabla5[I_max '[pu']])</f>
        <v>0.70228421052631573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0C6A-9FF1-4D1B-90AC-B33FB7CAB938}">
  <dimension ref="A1:H6"/>
  <sheetViews>
    <sheetView tabSelected="1" workbookViewId="0">
      <selection sqref="A1:H6"/>
    </sheetView>
  </sheetViews>
  <sheetFormatPr baseColWidth="10" defaultRowHeight="15" x14ac:dyDescent="0.25"/>
  <cols>
    <col min="1" max="1" width="16.140625" bestFit="1" customWidth="1"/>
    <col min="2" max="2" width="15.5703125" bestFit="1" customWidth="1"/>
    <col min="3" max="3" width="18" bestFit="1" customWidth="1"/>
    <col min="4" max="4" width="17.140625" bestFit="1" customWidth="1"/>
    <col min="5" max="5" width="25.7109375" style="5" bestFit="1" customWidth="1"/>
    <col min="6" max="6" width="23" bestFit="1" customWidth="1"/>
    <col min="7" max="7" width="21.42578125" bestFit="1" customWidth="1"/>
  </cols>
  <sheetData>
    <row r="1" spans="1:8" ht="15.75" thickBot="1" x14ac:dyDescent="0.3">
      <c r="A1" s="10" t="s">
        <v>56</v>
      </c>
      <c r="B1" s="5" t="s">
        <v>62</v>
      </c>
      <c r="C1" t="s">
        <v>50</v>
      </c>
      <c r="D1" t="s">
        <v>51</v>
      </c>
      <c r="E1" t="s">
        <v>52</v>
      </c>
      <c r="F1" t="s">
        <v>55</v>
      </c>
      <c r="G1" t="s">
        <v>53</v>
      </c>
      <c r="H1" t="s">
        <v>54</v>
      </c>
    </row>
    <row r="2" spans="1:8" ht="15.75" thickTop="1" x14ac:dyDescent="0.25">
      <c r="A2" s="11" t="s">
        <v>57</v>
      </c>
      <c r="B2" s="13">
        <v>0</v>
      </c>
      <c r="C2">
        <v>0.96640000000000004</v>
      </c>
      <c r="D2" t="s">
        <v>26</v>
      </c>
      <c r="E2">
        <v>0.11169999999999999</v>
      </c>
      <c r="F2">
        <v>0.69053684210526323</v>
      </c>
      <c r="G2">
        <v>0</v>
      </c>
      <c r="H2">
        <v>0</v>
      </c>
    </row>
    <row r="3" spans="1:8" x14ac:dyDescent="0.25">
      <c r="A3" s="11" t="s">
        <v>58</v>
      </c>
      <c r="B3" s="13">
        <v>7</v>
      </c>
      <c r="C3">
        <v>0.96650000000000003</v>
      </c>
      <c r="D3" t="s">
        <v>26</v>
      </c>
      <c r="E3">
        <v>0.1217</v>
      </c>
      <c r="F3">
        <v>0.72315263157894727</v>
      </c>
      <c r="G3">
        <v>0</v>
      </c>
      <c r="H3">
        <v>0</v>
      </c>
    </row>
    <row r="4" spans="1:8" x14ac:dyDescent="0.25">
      <c r="A4" s="11" t="s">
        <v>59</v>
      </c>
      <c r="B4" s="13">
        <v>14</v>
      </c>
      <c r="C4">
        <v>0.96609999999999996</v>
      </c>
      <c r="D4" t="s">
        <v>26</v>
      </c>
      <c r="E4">
        <v>9.1700000000000004E-2</v>
      </c>
      <c r="F4">
        <v>0.71876842105263161</v>
      </c>
      <c r="G4">
        <v>0</v>
      </c>
      <c r="H4">
        <v>0</v>
      </c>
    </row>
    <row r="5" spans="1:8" x14ac:dyDescent="0.25">
      <c r="A5" s="11" t="s">
        <v>60</v>
      </c>
      <c r="B5" s="13">
        <v>21</v>
      </c>
      <c r="C5">
        <v>0.98029999999999995</v>
      </c>
      <c r="D5" t="s">
        <v>26</v>
      </c>
      <c r="E5">
        <v>4.1700000000000001E-2</v>
      </c>
      <c r="F5">
        <v>0.71557894736842098</v>
      </c>
      <c r="G5">
        <v>0</v>
      </c>
      <c r="H5">
        <v>0</v>
      </c>
    </row>
    <row r="6" spans="1:8" x14ac:dyDescent="0.25">
      <c r="A6" s="12" t="s">
        <v>61</v>
      </c>
      <c r="B6" s="13">
        <v>28</v>
      </c>
      <c r="C6">
        <v>0.98540000000000005</v>
      </c>
      <c r="D6" t="s">
        <v>46</v>
      </c>
      <c r="E6">
        <v>1.4117</v>
      </c>
      <c r="F6">
        <v>0.70228421052631573</v>
      </c>
      <c r="G6">
        <v>0</v>
      </c>
      <c r="H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Resumen escenarios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2026-06-12T01:21:24Z</dcterms:created>
  <dcterms:modified xsi:type="dcterms:W3CDTF">2026-06-12T04:00:30Z</dcterms:modified>
</cp:coreProperties>
</file>