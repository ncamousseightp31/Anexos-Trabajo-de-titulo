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amo\Documents\000-Introduccion al trabajo de titulo\datos csv\0-Resultados para el latex\"/>
    </mc:Choice>
  </mc:AlternateContent>
  <xr:revisionPtr revIDLastSave="0" documentId="13_ncr:1_{EDBEF171-3EE3-4F43-A847-5287275C7B65}" xr6:coauthVersionLast="47" xr6:coauthVersionMax="47" xr10:uidLastSave="{00000000-0000-0000-0000-000000000000}"/>
  <bookViews>
    <workbookView xWindow="-120" yWindow="-120" windowWidth="29040" windowHeight="15720" activeTab="5" xr2:uid="{159A0E5C-81F9-4BA6-97C7-F9D8C7E22C66}"/>
  </bookViews>
  <sheets>
    <sheet name="Caso base" sheetId="1" r:id="rId1"/>
    <sheet name="Reemplazo 25%" sheetId="2" r:id="rId2"/>
    <sheet name="Reemplazo 50%" sheetId="3" r:id="rId3"/>
    <sheet name="Reemplazo 75%" sheetId="4" r:id="rId4"/>
    <sheet name="Reemplazo 100%" sheetId="5" r:id="rId5"/>
    <sheet name="Resumen por cas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" i="5" l="1"/>
  <c r="G24" i="4"/>
  <c r="G24" i="3"/>
  <c r="G24" i="1"/>
  <c r="G23" i="2"/>
  <c r="D24" i="5"/>
  <c r="C24" i="5"/>
  <c r="F24" i="5"/>
  <c r="E24" i="5"/>
  <c r="B24" i="5"/>
  <c r="F24" i="4"/>
  <c r="E24" i="4"/>
  <c r="D24" i="4"/>
  <c r="C24" i="4"/>
  <c r="B24" i="4"/>
  <c r="B24" i="3"/>
  <c r="F23" i="2"/>
  <c r="E23" i="2"/>
  <c r="F24" i="3"/>
  <c r="E24" i="3"/>
  <c r="C24" i="3"/>
  <c r="D23" i="2"/>
  <c r="C23" i="2"/>
  <c r="B23" i="2"/>
  <c r="D24" i="1"/>
  <c r="C24" i="1"/>
  <c r="B24" i="1"/>
  <c r="F24" i="1"/>
  <c r="E24" i="1"/>
  <c r="D24" i="3" l="1"/>
</calcChain>
</file>

<file path=xl/sharedStrings.xml><?xml version="1.0" encoding="utf-8"?>
<sst xmlns="http://schemas.openxmlformats.org/spreadsheetml/2006/main" count="478" uniqueCount="68">
  <si>
    <t>Maquina</t>
  </si>
  <si>
    <t>Es Inversor</t>
  </si>
  <si>
    <t>I_max [pu]</t>
  </si>
  <si>
    <t>I_max en t [s]</t>
  </si>
  <si>
    <t>I_mean [pu]</t>
  </si>
  <si>
    <t>I_min [pu]</t>
  </si>
  <si>
    <t>Supera limite nominal</t>
  </si>
  <si>
    <t>Supera limite critico</t>
  </si>
  <si>
    <t>Tiempo sobre limite [s]</t>
  </si>
  <si>
    <t>Laja</t>
  </si>
  <si>
    <t>No</t>
  </si>
  <si>
    <t>no</t>
  </si>
  <si>
    <t>Nueva Aldea 2</t>
  </si>
  <si>
    <t>Horcones</t>
  </si>
  <si>
    <t>Cholguan</t>
  </si>
  <si>
    <t>Nueva Aldea 1</t>
  </si>
  <si>
    <t>CELCO Arauco</t>
  </si>
  <si>
    <t>PSEG</t>
  </si>
  <si>
    <t>Petropower</t>
  </si>
  <si>
    <t>Aconcagua</t>
  </si>
  <si>
    <t>Nehuenco III 9B</t>
  </si>
  <si>
    <t>Ventanas 1</t>
  </si>
  <si>
    <t>Bocamina</t>
  </si>
  <si>
    <t>Taltal I</t>
  </si>
  <si>
    <t>Ventanas 2</t>
  </si>
  <si>
    <t>Guacolda</t>
  </si>
  <si>
    <t>Nueva Renca</t>
  </si>
  <si>
    <t>San Isidro</t>
  </si>
  <si>
    <t>Nehuenco I</t>
  </si>
  <si>
    <t>Nehuenco II</t>
  </si>
  <si>
    <t>GFM Laja</t>
  </si>
  <si>
    <t>Si</t>
  </si>
  <si>
    <t>GFM  Nueva Aldea 2</t>
  </si>
  <si>
    <t>GFM  Horcones</t>
  </si>
  <si>
    <t>GFM  Cholguan</t>
  </si>
  <si>
    <t>GFM  Nueva Aldea 1</t>
  </si>
  <si>
    <t>GFM  CELCO Arauco</t>
  </si>
  <si>
    <t>GFM PSEG</t>
  </si>
  <si>
    <t>GFM Petropower</t>
  </si>
  <si>
    <t>GFM Aconcagua</t>
  </si>
  <si>
    <t>GFM Nehuenco III 9B</t>
  </si>
  <si>
    <t>GFM Ventanas 1</t>
  </si>
  <si>
    <t>GFM Bocamina</t>
  </si>
  <si>
    <t>GFM Taltal I</t>
  </si>
  <si>
    <t>GFM Ventanas 2</t>
  </si>
  <si>
    <t>GFM Guacolda</t>
  </si>
  <si>
    <t>GFM Nueva Renca</t>
  </si>
  <si>
    <t>GFM San Isidro</t>
  </si>
  <si>
    <t>GFM Nehuenco I</t>
  </si>
  <si>
    <t>GFM Nehuenco II</t>
  </si>
  <si>
    <t>Promedio del sistema</t>
  </si>
  <si>
    <t>Escenario</t>
  </si>
  <si>
    <t>Cantidad de inversores</t>
  </si>
  <si>
    <t>Caso base</t>
  </si>
  <si>
    <t>Reemplazo 25%</t>
  </si>
  <si>
    <t>Reemplazo 50%</t>
  </si>
  <si>
    <t>Reemplazo 75%</t>
  </si>
  <si>
    <t>Reemplazo 100%</t>
  </si>
  <si>
    <t>I max sistema</t>
  </si>
  <si>
    <t>Equipo asociado</t>
  </si>
  <si>
    <t>t asociado imax</t>
  </si>
  <si>
    <t>supera limite nominal</t>
  </si>
  <si>
    <t>supera limite critico</t>
  </si>
  <si>
    <t>Imax​ sistema [pu]</t>
  </si>
  <si>
    <t>t(Imax​) [s]</t>
  </si>
  <si>
    <t>Sobre límite nominal</t>
  </si>
  <si>
    <t>Sobre límite crítico</t>
  </si>
  <si>
    <t>Promedio corriente 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</si>
</sst>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73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73" fontId="0" fillId="0" borderId="0" xfId="0" applyNumberFormat="1" applyAlignment="1">
      <alignment horizontal="center"/>
    </xf>
    <xf numFmtId="0" fontId="0" fillId="2" borderId="0" xfId="0" applyFill="1"/>
  </cellXfs>
  <cellStyles count="1">
    <cellStyle name="Normal" xfId="0" builtinId="0"/>
  </cellStyles>
  <dxfs count="35">
    <dxf>
      <numFmt numFmtId="173" formatCode="0.0000"/>
      <alignment horizontal="center" vertical="bottom" textRotation="0" wrapText="0" indent="0" justifyLastLine="0" shrinkToFit="0" readingOrder="0"/>
    </dxf>
    <dxf>
      <numFmt numFmtId="173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0.000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049EF-13C9-4794-8E37-585FD7099678}" name="Tabla1" displayName="Tabla1" ref="A1:I20" totalsRowShown="0" headerRowDxfId="32" headerRowBorderDxfId="31" tableBorderDxfId="30">
  <autoFilter ref="A1:I20" xr:uid="{1FF049EF-13C9-4794-8E37-585FD7099678}"/>
  <tableColumns count="9">
    <tableColumn id="1" xr3:uid="{C62B5D73-6F43-422B-9C92-38C7E59C7E36}" name="Maquina" dataDxfId="29"/>
    <tableColumn id="2" xr3:uid="{667784DC-CD83-49A8-9AF6-DA44BA7055E2}" name="Es Inversor"/>
    <tableColumn id="3" xr3:uid="{282C291B-31C0-42CB-BAAD-FD4BE307F84E}" name="I_max [pu]"/>
    <tableColumn id="4" xr3:uid="{FA407397-87AC-4066-9502-BF7F591EED3F}" name="I_max en t [s]"/>
    <tableColumn id="5" xr3:uid="{9B439A01-8794-468A-91AA-ECE6A1E8C85D}" name="I_mean [pu]" dataDxfId="28"/>
    <tableColumn id="6" xr3:uid="{C9E39914-6ADB-449E-8A5B-F70D3EE5232D}" name="I_min [pu]"/>
    <tableColumn id="7" xr3:uid="{2117A21D-3FFE-4C3A-AE27-78A1C83AD139}" name="Supera limite nominal"/>
    <tableColumn id="8" xr3:uid="{832AE018-DEC8-4C35-89BF-1FD99A060328}" name="Supera limite critico"/>
    <tableColumn id="9" xr3:uid="{3A779CC8-F168-460C-9095-D5F7C6F9A2B4}" name="Tiempo sobre limite [s]"/>
  </tableColumns>
  <tableStyleInfo name="TableStyleMedium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2E5061-4E30-4EA1-A268-BB5F62A677C8}" name="Tabla2" displayName="Tabla2" ref="A1:I20" totalsRowShown="0" headerRowDxfId="27" dataDxfId="25" headerRowBorderDxfId="26" tableBorderDxfId="24">
  <autoFilter ref="A1:I20" xr:uid="{502E5061-4E30-4EA1-A268-BB5F62A677C8}"/>
  <tableColumns count="9">
    <tableColumn id="1" xr3:uid="{B20747F3-87D4-41AE-B25F-3B90B8234B1C}" name="Maquina" dataDxfId="23"/>
    <tableColumn id="2" xr3:uid="{6C922D70-7204-4ED9-B553-C85B24F4E24F}" name="Es Inversor" dataDxfId="22"/>
    <tableColumn id="3" xr3:uid="{A9424CD1-772A-4346-ACCB-35B3BD325365}" name="I_max [pu]" dataDxfId="21"/>
    <tableColumn id="4" xr3:uid="{9EAC587D-6176-48B6-B88D-465B72D411D4}" name="I_max en t [s]" dataDxfId="20"/>
    <tableColumn id="5" xr3:uid="{542EAD21-42A3-4D5E-8184-1145F133141C}" name="I_mean [pu]" dataDxfId="19"/>
    <tableColumn id="6" xr3:uid="{44B5EECF-477C-432C-B83E-D0C9D85C75A2}" name="I_min [pu]" dataDxfId="18"/>
    <tableColumn id="7" xr3:uid="{D21CB237-B58C-44C7-86E2-A16468BB6A17}" name="Supera limite nominal" dataDxfId="17"/>
    <tableColumn id="8" xr3:uid="{56463297-792B-4433-9829-B2A4C0C90B23}" name="Supera limite critico" dataDxfId="16"/>
    <tableColumn id="9" xr3:uid="{7DD83831-B5D9-4596-A3EF-E33B0E9D6CF5}" name="Tiempo sobre limite [s]"/>
  </tableColumns>
  <tableStyleInfo name="TableStyleMedium5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38A4CD-15AD-4197-A61B-84592E331F37}" name="Tabla3" displayName="Tabla3" ref="A1:I20" totalsRowShown="0" headerRowDxfId="15" headerRowBorderDxfId="14" tableBorderDxfId="13">
  <autoFilter ref="A1:I20" xr:uid="{8238A4CD-15AD-4197-A61B-84592E331F37}"/>
  <tableColumns count="9">
    <tableColumn id="1" xr3:uid="{4E9E4A21-2891-4D33-B6E5-381EF25EB509}" name="Maquina" dataDxfId="12"/>
    <tableColumn id="2" xr3:uid="{B7991102-A703-4029-8F63-6D6C6194BBB4}" name="Es Inversor"/>
    <tableColumn id="3" xr3:uid="{E8FCA9E5-5A17-4253-BF46-AF7A5078DF05}" name="I_max [pu]"/>
    <tableColumn id="4" xr3:uid="{AF110231-EC14-46C4-A237-0F081529DF46}" name="I_max en t [s]"/>
    <tableColumn id="5" xr3:uid="{BD4B64F4-DF06-43E8-A8C5-89A15E1793B7}" name="I_mean [pu]"/>
    <tableColumn id="6" xr3:uid="{69887CA4-8F82-4DFE-8BEC-1E838A1334E9}" name="I_min [pu]"/>
    <tableColumn id="7" xr3:uid="{239AE33A-35AC-47DC-8621-5AF12080E4EC}" name="Supera limite nominal"/>
    <tableColumn id="8" xr3:uid="{79A78484-AB6D-4EBC-BCC9-96C092C5B821}" name="Supera limite critico"/>
    <tableColumn id="9" xr3:uid="{2590C00F-6727-4BB2-AFDD-CFC373080F34}" name="Tiempo sobre limite [s]"/>
  </tableColumns>
  <tableStyleInfo name="TableStyleMedium5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29D589-9A65-4DB0-A74F-DEC8AE7BD423}" name="Tabla4" displayName="Tabla4" ref="A1:I20" totalsRowShown="0" headerRowDxfId="11" headerRowBorderDxfId="10" tableBorderDxfId="9">
  <autoFilter ref="A1:I20" xr:uid="{F829D589-9A65-4DB0-A74F-DEC8AE7BD423}"/>
  <tableColumns count="9">
    <tableColumn id="1" xr3:uid="{F506B8A9-521E-4F13-A6D4-4F6AC49D40A8}" name="Maquina" dataDxfId="8"/>
    <tableColumn id="2" xr3:uid="{FE13935A-CC50-4CEF-93A7-4027A2529988}" name="Es Inversor"/>
    <tableColumn id="3" xr3:uid="{12218F16-ADF4-4495-9FB7-8E0CEF95C697}" name="I_max [pu]"/>
    <tableColumn id="4" xr3:uid="{378634C5-B2F5-42C8-B921-9A57EF834AEF}" name="I_max en t [s]"/>
    <tableColumn id="5" xr3:uid="{2A22DFC0-C5C6-438B-BA29-D52AF9D1EA3F}" name="I_mean [pu]"/>
    <tableColumn id="6" xr3:uid="{6FFAFD8B-A4FF-4D12-962D-41EC3DEF9D3B}" name="I_min [pu]"/>
    <tableColumn id="7" xr3:uid="{0B196BFD-A6F1-4B4A-BDD9-67310A934F85}" name="Supera limite nominal"/>
    <tableColumn id="8" xr3:uid="{4FFD7FBD-AE2F-4896-B900-8F1859856F14}" name="Supera limite critico"/>
    <tableColumn id="9" xr3:uid="{22A41DA4-9EDB-4F8F-B127-B6D19A89FAA1}" name="Tiempo sobre limite [s]"/>
  </tableColumns>
  <tableStyleInfo name="TableStyleMedium5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402A5E-AF12-4492-9FD7-45CD97359235}" name="Tabla5" displayName="Tabla5" ref="A1:I20" totalsRowShown="0" headerRowDxfId="7" headerRowBorderDxfId="6" tableBorderDxfId="5">
  <autoFilter ref="A1:I20" xr:uid="{02402A5E-AF12-4492-9FD7-45CD97359235}"/>
  <tableColumns count="9">
    <tableColumn id="1" xr3:uid="{52952456-EE30-4890-B946-285F3EF2A142}" name="Maquina" dataDxfId="4"/>
    <tableColumn id="2" xr3:uid="{0401AD63-C37A-4903-8F91-0001E6093808}" name="Es Inversor"/>
    <tableColumn id="3" xr3:uid="{9DCF25E9-431E-47F2-BA6A-DA857CE588D6}" name="I_max [pu]"/>
    <tableColumn id="4" xr3:uid="{CA6B19A8-B44F-4899-8FB0-A8FC585E4E4F}" name="I_max en t [s]"/>
    <tableColumn id="5" xr3:uid="{B62FBD2D-934E-4E49-879D-CE97E86AD504}" name="I_mean [pu]"/>
    <tableColumn id="6" xr3:uid="{5AE56107-B3C4-440C-9BC5-8AE7E70241BE}" name="I_min [pu]"/>
    <tableColumn id="7" xr3:uid="{BB3B37EE-C745-4212-B9A1-4D0E77B67B95}" name="Supera limite nominal"/>
    <tableColumn id="8" xr3:uid="{CBF4FA26-C228-4C59-8E04-1DAF49EBE40C}" name="Supera limite critico"/>
    <tableColumn id="9" xr3:uid="{9632C1A1-4A2D-4EF6-8AE1-8653326D3377}" name="Tiempo sobre limite [s]"/>
  </tableColumns>
  <tableStyleInfo name="TableStyleMedium5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FA87E5-631E-4698-9A26-7FC9CB98791A}" name="Tabla6" displayName="Tabla6" ref="A1:H6" totalsRowShown="0" headerRowCellStyle="Normal" dataCellStyle="Normal">
  <autoFilter ref="A1:H6" xr:uid="{E0FA87E5-631E-4698-9A26-7FC9CB98791A}"/>
  <tableColumns count="8">
    <tableColumn id="1" xr3:uid="{789DCC95-33D2-44A6-B8AD-0F7E337B0634}" name="Escenario" dataCellStyle="Normal"/>
    <tableColumn id="2" xr3:uid="{39859B60-252E-4E83-B762-4E21355FA123}" name="Cantidad de inversores" dataDxfId="34" dataCellStyle="Normal"/>
    <tableColumn id="3" xr3:uid="{B22E1294-0043-4F36-BBC3-205A60547CB6}" name="Imax​ sistema [pu]" dataDxfId="33" dataCellStyle="Normal"/>
    <tableColumn id="4" xr3:uid="{7ED7A6B3-CC29-4386-ACAE-BE54CABA92A2}" name="Equipo asociado" dataDxfId="3" dataCellStyle="Normal"/>
    <tableColumn id="5" xr3:uid="{230EEC69-10E6-4B26-BF7C-A83D88ED054A}" name="t(Imax​) [s]" dataDxfId="1" dataCellStyle="Normal"/>
    <tableColumn id="8" xr3:uid="{2F3E63C4-7625-415A-BF06-5880ACD0D093}" name="Promedio corriente Imax" dataDxfId="0"/>
    <tableColumn id="6" xr3:uid="{D5481205-63BF-45E5-B93D-C3B38122BCD0}" name="Sobre límite nominal" dataDxfId="2" dataCellStyle="Normal"/>
    <tableColumn id="7" xr3:uid="{854DA466-3D7F-41E2-979F-728DA3B176D5}" name="Sobre límite crítico" dataCellStyle="Normal"/>
  </tableColumns>
  <tableStyleInfo name="TableStyleMedium14" showFirstColumn="1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EFDD-9D5D-42A2-B24F-E12BEA5C6E9C}">
  <dimension ref="A1:I24"/>
  <sheetViews>
    <sheetView workbookViewId="0">
      <selection activeCell="G24" sqref="G24"/>
    </sheetView>
  </sheetViews>
  <sheetFormatPr baseColWidth="10" defaultRowHeight="15" x14ac:dyDescent="0.25"/>
  <cols>
    <col min="1" max="1" width="20.42578125" bestFit="1" customWidth="1"/>
    <col min="2" max="2" width="15.140625" bestFit="1" customWidth="1"/>
    <col min="3" max="3" width="15.85546875" bestFit="1" customWidth="1"/>
    <col min="4" max="4" width="17.42578125" bestFit="1" customWidth="1"/>
    <col min="5" max="5" width="20.5703125" bestFit="1" customWidth="1"/>
    <col min="6" max="6" width="18.7109375" bestFit="1" customWidth="1"/>
    <col min="7" max="7" width="25.28515625" bestFit="1" customWidth="1"/>
    <col min="8" max="8" width="23.42578125" bestFit="1" customWidth="1"/>
    <col min="9" max="9" width="26.42578125" bestFit="1" customWidth="1"/>
  </cols>
  <sheetData>
    <row r="1" spans="1:9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4" t="s">
        <v>9</v>
      </c>
      <c r="B2" t="s">
        <v>10</v>
      </c>
      <c r="C2">
        <v>0.75209999999999999</v>
      </c>
      <c r="D2">
        <v>0.49880000000000002</v>
      </c>
      <c r="E2" s="3">
        <v>-2.2220926357880769E-4</v>
      </c>
      <c r="F2">
        <v>-0.753</v>
      </c>
      <c r="G2" t="s">
        <v>10</v>
      </c>
      <c r="H2" t="s">
        <v>10</v>
      </c>
      <c r="I2">
        <v>0</v>
      </c>
    </row>
    <row r="3" spans="1:9" x14ac:dyDescent="0.25">
      <c r="A3" s="4" t="s">
        <v>12</v>
      </c>
      <c r="B3" t="s">
        <v>10</v>
      </c>
      <c r="C3">
        <v>0.65229999999999999</v>
      </c>
      <c r="D3">
        <v>0.49880000000000002</v>
      </c>
      <c r="E3" s="3">
        <v>-1.881872709096935E-4</v>
      </c>
      <c r="F3">
        <v>-0.65310000000000001</v>
      </c>
      <c r="G3" t="s">
        <v>10</v>
      </c>
      <c r="H3" t="s">
        <v>10</v>
      </c>
      <c r="I3">
        <v>0</v>
      </c>
    </row>
    <row r="4" spans="1:9" x14ac:dyDescent="0.25">
      <c r="A4" s="4" t="s">
        <v>13</v>
      </c>
      <c r="B4" t="s">
        <v>10</v>
      </c>
      <c r="C4">
        <v>0.34839999999999999</v>
      </c>
      <c r="D4">
        <v>0.48010000000000003</v>
      </c>
      <c r="E4" s="3">
        <v>1.2629123625458201E-4</v>
      </c>
      <c r="F4">
        <v>-0.34820000000000001</v>
      </c>
      <c r="G4" t="s">
        <v>10</v>
      </c>
      <c r="H4" t="s">
        <v>10</v>
      </c>
      <c r="I4">
        <v>0</v>
      </c>
    </row>
    <row r="5" spans="1:9" x14ac:dyDescent="0.25">
      <c r="A5" s="4" t="s">
        <v>14</v>
      </c>
      <c r="B5" t="s">
        <v>10</v>
      </c>
      <c r="C5">
        <v>0.75160000000000005</v>
      </c>
      <c r="D5">
        <v>0.49880000000000002</v>
      </c>
      <c r="E5" s="3">
        <v>-2.2550816394535989E-4</v>
      </c>
      <c r="F5">
        <v>-0.75249999999999995</v>
      </c>
      <c r="G5" t="s">
        <v>10</v>
      </c>
      <c r="H5" t="s">
        <v>10</v>
      </c>
      <c r="I5">
        <v>0</v>
      </c>
    </row>
    <row r="6" spans="1:9" x14ac:dyDescent="0.25">
      <c r="A6" s="4" t="s">
        <v>15</v>
      </c>
      <c r="B6" t="s">
        <v>10</v>
      </c>
      <c r="C6">
        <v>0.7611</v>
      </c>
      <c r="D6">
        <v>0.49940000000000001</v>
      </c>
      <c r="E6" s="3">
        <v>-3.6872709096967391E-4</v>
      </c>
      <c r="F6">
        <v>-0.76229999999999998</v>
      </c>
      <c r="G6" t="s">
        <v>10</v>
      </c>
      <c r="H6" t="s">
        <v>10</v>
      </c>
      <c r="I6">
        <v>0</v>
      </c>
    </row>
    <row r="7" spans="1:9" x14ac:dyDescent="0.25">
      <c r="A7" s="4" t="s">
        <v>16</v>
      </c>
      <c r="B7" t="s">
        <v>10</v>
      </c>
      <c r="C7">
        <v>0.7893</v>
      </c>
      <c r="D7">
        <v>0.48060000000000003</v>
      </c>
      <c r="E7" s="3">
        <v>-9.1536154615124495E-5</v>
      </c>
      <c r="F7">
        <v>-0.78990000000000005</v>
      </c>
      <c r="G7" t="s">
        <v>10</v>
      </c>
      <c r="H7" t="s">
        <v>10</v>
      </c>
      <c r="I7">
        <v>0</v>
      </c>
    </row>
    <row r="8" spans="1:9" x14ac:dyDescent="0.25">
      <c r="A8" s="4" t="s">
        <v>17</v>
      </c>
      <c r="B8" t="s">
        <v>10</v>
      </c>
      <c r="C8">
        <v>0.45090000000000002</v>
      </c>
      <c r="D8">
        <v>0.48089999999999999</v>
      </c>
      <c r="E8" s="3">
        <v>-4.655114961679364E-5</v>
      </c>
      <c r="F8">
        <v>-0.4511</v>
      </c>
      <c r="G8" t="s">
        <v>10</v>
      </c>
      <c r="H8" t="s">
        <v>10</v>
      </c>
      <c r="I8">
        <v>0</v>
      </c>
    </row>
    <row r="9" spans="1:9" x14ac:dyDescent="0.25">
      <c r="A9" s="4" t="s">
        <v>18</v>
      </c>
      <c r="B9" t="s">
        <v>10</v>
      </c>
      <c r="C9">
        <v>0.83989999999999998</v>
      </c>
      <c r="D9">
        <v>0.49909999999999999</v>
      </c>
      <c r="E9" s="3">
        <v>3.6852715761412737E-4</v>
      </c>
      <c r="F9">
        <v>-0.83960000000000001</v>
      </c>
      <c r="G9" t="s">
        <v>10</v>
      </c>
      <c r="H9" t="s">
        <v>10</v>
      </c>
      <c r="I9">
        <v>0</v>
      </c>
    </row>
    <row r="10" spans="1:9" x14ac:dyDescent="0.25">
      <c r="A10" s="4" t="s">
        <v>19</v>
      </c>
      <c r="B10" t="s">
        <v>10</v>
      </c>
      <c r="C10">
        <v>0.3125</v>
      </c>
      <c r="D10">
        <v>1.9800000000000002E-2</v>
      </c>
      <c r="E10" s="3">
        <v>3.5946351216261231E-4</v>
      </c>
      <c r="F10">
        <v>-0.312</v>
      </c>
      <c r="G10" t="s">
        <v>10</v>
      </c>
      <c r="H10" t="s">
        <v>10</v>
      </c>
      <c r="I10">
        <v>0</v>
      </c>
    </row>
    <row r="11" spans="1:9" x14ac:dyDescent="0.25">
      <c r="A11" s="4" t="s">
        <v>20</v>
      </c>
      <c r="B11" t="s">
        <v>10</v>
      </c>
      <c r="C11">
        <v>0.82589999999999997</v>
      </c>
      <c r="D11">
        <v>1.9199999999999998E-2</v>
      </c>
      <c r="E11" s="3">
        <v>9.3485504831722124E-5</v>
      </c>
      <c r="F11">
        <v>-0.82730000000000004</v>
      </c>
      <c r="G11" t="s">
        <v>10</v>
      </c>
      <c r="H11" t="s">
        <v>10</v>
      </c>
      <c r="I11">
        <v>0</v>
      </c>
    </row>
    <row r="12" spans="1:9" x14ac:dyDescent="0.25">
      <c r="A12" s="4" t="s">
        <v>21</v>
      </c>
      <c r="B12" t="s">
        <v>10</v>
      </c>
      <c r="C12">
        <v>0.55200000000000005</v>
      </c>
      <c r="D12">
        <v>2.2499999999999999E-2</v>
      </c>
      <c r="E12" s="3">
        <v>-7.8823725424861729E-5</v>
      </c>
      <c r="F12">
        <v>-0.55249999999999999</v>
      </c>
      <c r="G12" t="s">
        <v>10</v>
      </c>
      <c r="H12" t="s">
        <v>10</v>
      </c>
      <c r="I12">
        <v>0</v>
      </c>
    </row>
    <row r="13" spans="1:9" x14ac:dyDescent="0.25">
      <c r="A13" s="4" t="s">
        <v>22</v>
      </c>
      <c r="B13" t="s">
        <v>10</v>
      </c>
      <c r="C13">
        <v>0.8498</v>
      </c>
      <c r="D13">
        <v>0.49980000000000002</v>
      </c>
      <c r="E13" s="3">
        <v>2.1734421859379271E-4</v>
      </c>
      <c r="F13">
        <v>-0.84970000000000001</v>
      </c>
      <c r="G13" t="s">
        <v>10</v>
      </c>
      <c r="H13" t="s">
        <v>10</v>
      </c>
      <c r="I13">
        <v>0</v>
      </c>
    </row>
    <row r="14" spans="1:9" x14ac:dyDescent="0.25">
      <c r="A14" s="4" t="s">
        <v>23</v>
      </c>
      <c r="B14" t="s">
        <v>10</v>
      </c>
      <c r="C14">
        <v>0.76629999999999998</v>
      </c>
      <c r="D14">
        <v>0.44040000000000001</v>
      </c>
      <c r="E14" s="3">
        <v>7.2942352549152531E-5</v>
      </c>
      <c r="F14">
        <v>-0.76649999999999996</v>
      </c>
      <c r="G14" t="s">
        <v>10</v>
      </c>
      <c r="H14" t="s">
        <v>10</v>
      </c>
      <c r="I14">
        <v>0</v>
      </c>
    </row>
    <row r="15" spans="1:9" x14ac:dyDescent="0.25">
      <c r="A15" s="4" t="s">
        <v>24</v>
      </c>
      <c r="B15" t="s">
        <v>10</v>
      </c>
      <c r="C15">
        <v>0.75549999999999995</v>
      </c>
      <c r="D15">
        <v>2.0899999999999998E-2</v>
      </c>
      <c r="E15" s="3">
        <v>1.472509163612148E-4</v>
      </c>
      <c r="F15">
        <v>-0.75549999999999995</v>
      </c>
      <c r="G15" t="s">
        <v>10</v>
      </c>
      <c r="H15" t="s">
        <v>10</v>
      </c>
      <c r="I15">
        <v>0</v>
      </c>
    </row>
    <row r="16" spans="1:9" x14ac:dyDescent="0.25">
      <c r="A16" s="4" t="s">
        <v>25</v>
      </c>
      <c r="B16" t="s">
        <v>10</v>
      </c>
      <c r="C16">
        <v>0.81169999999999998</v>
      </c>
      <c r="D16">
        <v>0.2011</v>
      </c>
      <c r="E16" s="3">
        <v>1.207597467510791E-4</v>
      </c>
      <c r="F16">
        <v>-0.81169999999999998</v>
      </c>
      <c r="G16" t="s">
        <v>10</v>
      </c>
      <c r="H16" t="s">
        <v>10</v>
      </c>
      <c r="I16">
        <v>0</v>
      </c>
    </row>
    <row r="17" spans="1:9" x14ac:dyDescent="0.25">
      <c r="A17" s="4" t="s">
        <v>26</v>
      </c>
      <c r="B17" t="s">
        <v>10</v>
      </c>
      <c r="C17">
        <v>0.9667</v>
      </c>
      <c r="D17">
        <v>0.10150000000000001</v>
      </c>
      <c r="E17" s="3">
        <v>-6.8360546484508622E-5</v>
      </c>
      <c r="F17">
        <v>-0.96699999999999997</v>
      </c>
      <c r="G17" t="s">
        <v>10</v>
      </c>
      <c r="H17" t="s">
        <v>10</v>
      </c>
      <c r="I17">
        <v>0</v>
      </c>
    </row>
    <row r="18" spans="1:9" x14ac:dyDescent="0.25">
      <c r="A18" s="4" t="s">
        <v>27</v>
      </c>
      <c r="B18" t="s">
        <v>10</v>
      </c>
      <c r="C18">
        <v>0.35549999999999998</v>
      </c>
      <c r="D18">
        <v>2.23E-2</v>
      </c>
      <c r="E18" s="3">
        <v>1.801899366877675E-4</v>
      </c>
      <c r="F18">
        <v>-0.35489999999999999</v>
      </c>
      <c r="G18" t="s">
        <v>10</v>
      </c>
      <c r="H18" t="s">
        <v>10</v>
      </c>
      <c r="I18">
        <v>0</v>
      </c>
    </row>
    <row r="19" spans="1:9" x14ac:dyDescent="0.25">
      <c r="A19" s="4" t="s">
        <v>28</v>
      </c>
      <c r="B19" t="s">
        <v>10</v>
      </c>
      <c r="C19">
        <v>0.67810000000000004</v>
      </c>
      <c r="D19">
        <v>2.0400000000000001E-2</v>
      </c>
      <c r="E19" s="3">
        <v>-3.2255914695101991E-4</v>
      </c>
      <c r="F19">
        <v>-0.67920000000000003</v>
      </c>
      <c r="G19" t="s">
        <v>10</v>
      </c>
      <c r="H19" t="s">
        <v>10</v>
      </c>
      <c r="I19">
        <v>0</v>
      </c>
    </row>
    <row r="20" spans="1:9" x14ac:dyDescent="0.25">
      <c r="A20" s="4" t="s">
        <v>29</v>
      </c>
      <c r="B20" t="s">
        <v>10</v>
      </c>
      <c r="C20">
        <v>0.87819999999999998</v>
      </c>
      <c r="D20">
        <v>1.9300000000000001E-2</v>
      </c>
      <c r="E20" s="3">
        <v>-9.9966677774493436E-7</v>
      </c>
      <c r="F20">
        <v>-0.87960000000000005</v>
      </c>
      <c r="G20" t="s">
        <v>10</v>
      </c>
      <c r="H20" t="s">
        <v>10</v>
      </c>
      <c r="I20">
        <v>0</v>
      </c>
    </row>
    <row r="23" spans="1:9" x14ac:dyDescent="0.25">
      <c r="B23" t="s">
        <v>58</v>
      </c>
      <c r="C23" t="s">
        <v>59</v>
      </c>
      <c r="D23" t="s">
        <v>60</v>
      </c>
      <c r="E23" t="s">
        <v>61</v>
      </c>
      <c r="F23" t="s">
        <v>62</v>
      </c>
      <c r="G23" t="s">
        <v>67</v>
      </c>
    </row>
    <row r="24" spans="1:9" x14ac:dyDescent="0.25">
      <c r="A24" s="2" t="s">
        <v>50</v>
      </c>
      <c r="B24" s="2">
        <f>MAX(C2:C20)</f>
        <v>0.9667</v>
      </c>
      <c r="C24" s="2" t="str">
        <f>INDEX(Tabla1[Maquina],MATCH(B24,Tabla1[I_max '[pu']],0))</f>
        <v>Nueva Renca</v>
      </c>
      <c r="D24" s="2">
        <f>INDEX(Tabla1[I_max en t '[s']],MATCH(B24,Tabla1[I_max '[pu']],0))</f>
        <v>0.10150000000000001</v>
      </c>
      <c r="E24" s="2">
        <f>COUNTIF(G2:G20,"Si")</f>
        <v>0</v>
      </c>
      <c r="F24" s="2">
        <f>COUNTIF(H2:H20,"Si")</f>
        <v>0</v>
      </c>
      <c r="G24" s="8">
        <f>AVERAGE(Tabla1[I_max '[pu']])</f>
        <v>0.68935789473684195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DC78-7224-4C22-8505-AB27C35C74A0}">
  <dimension ref="A1:I23"/>
  <sheetViews>
    <sheetView workbookViewId="0">
      <selection activeCell="G23" sqref="G23"/>
    </sheetView>
  </sheetViews>
  <sheetFormatPr baseColWidth="10" defaultRowHeight="15" x14ac:dyDescent="0.25"/>
  <cols>
    <col min="1" max="1" width="20.42578125" bestFit="1" customWidth="1"/>
    <col min="2" max="2" width="15.140625" bestFit="1" customWidth="1"/>
    <col min="3" max="3" width="15" bestFit="1" customWidth="1"/>
    <col min="4" max="4" width="17.42578125" bestFit="1" customWidth="1"/>
    <col min="5" max="5" width="16.28515625" bestFit="1" customWidth="1"/>
    <col min="6" max="6" width="18.7109375" bestFit="1" customWidth="1"/>
    <col min="7" max="7" width="25.28515625" bestFit="1" customWidth="1"/>
    <col min="8" max="8" width="23.42578125" bestFit="1" customWidth="1"/>
    <col min="9" max="9" width="26.42578125" bestFit="1" customWidth="1"/>
  </cols>
  <sheetData>
    <row r="1" spans="1:9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4" t="s">
        <v>30</v>
      </c>
      <c r="B2" s="1" t="s">
        <v>31</v>
      </c>
      <c r="C2" s="1">
        <v>0.77410000000000001</v>
      </c>
      <c r="D2" s="1">
        <v>0.49869999999999998</v>
      </c>
      <c r="E2" s="1">
        <v>1.5004998333888479E-4</v>
      </c>
      <c r="F2" s="1">
        <v>-0.7732</v>
      </c>
      <c r="G2" s="1" t="s">
        <v>11</v>
      </c>
      <c r="H2" s="1" t="s">
        <v>11</v>
      </c>
      <c r="I2">
        <v>0</v>
      </c>
    </row>
    <row r="3" spans="1:9" x14ac:dyDescent="0.25">
      <c r="A3" s="4" t="s">
        <v>32</v>
      </c>
      <c r="B3" s="1" t="s">
        <v>31</v>
      </c>
      <c r="C3" s="1">
        <v>0.67379999999999995</v>
      </c>
      <c r="D3" s="1">
        <v>0.49869999999999998</v>
      </c>
      <c r="E3" s="1">
        <v>1.4055314895034961E-4</v>
      </c>
      <c r="F3" s="1">
        <v>-0.67300000000000004</v>
      </c>
      <c r="G3" s="1" t="s">
        <v>11</v>
      </c>
      <c r="H3" s="1" t="s">
        <v>11</v>
      </c>
      <c r="I3">
        <v>0</v>
      </c>
    </row>
    <row r="4" spans="1:9" x14ac:dyDescent="0.25">
      <c r="A4" s="4" t="s">
        <v>33</v>
      </c>
      <c r="B4" s="1" t="s">
        <v>31</v>
      </c>
      <c r="C4" s="1">
        <v>0.3634</v>
      </c>
      <c r="D4" s="1">
        <v>0.5</v>
      </c>
      <c r="E4" s="1">
        <v>1.0454848383872121E-4</v>
      </c>
      <c r="F4" s="1">
        <v>-0.36270000000000002</v>
      </c>
      <c r="G4" s="1" t="s">
        <v>11</v>
      </c>
      <c r="H4" s="1" t="s">
        <v>11</v>
      </c>
      <c r="I4">
        <v>0</v>
      </c>
    </row>
    <row r="5" spans="1:9" x14ac:dyDescent="0.25">
      <c r="A5" s="4" t="s">
        <v>34</v>
      </c>
      <c r="B5" s="1" t="s">
        <v>31</v>
      </c>
      <c r="C5" s="1">
        <v>0.77390000000000003</v>
      </c>
      <c r="D5" s="1">
        <v>0.49869999999999998</v>
      </c>
      <c r="E5" s="1">
        <v>1.5028323892036659E-4</v>
      </c>
      <c r="F5" s="1">
        <v>-0.77300000000000002</v>
      </c>
      <c r="G5" s="1" t="s">
        <v>11</v>
      </c>
      <c r="H5" s="1" t="s">
        <v>11</v>
      </c>
      <c r="I5">
        <v>0</v>
      </c>
    </row>
    <row r="6" spans="1:9" x14ac:dyDescent="0.25">
      <c r="A6" s="4" t="s">
        <v>35</v>
      </c>
      <c r="B6" s="1" t="s">
        <v>31</v>
      </c>
      <c r="C6" s="1">
        <v>0.77939999999999998</v>
      </c>
      <c r="D6" s="1">
        <v>0.49930000000000002</v>
      </c>
      <c r="E6" s="1">
        <v>1.515161612795678E-4</v>
      </c>
      <c r="F6" s="1">
        <v>-0.77869999999999995</v>
      </c>
      <c r="G6" s="1" t="s">
        <v>11</v>
      </c>
      <c r="H6" s="1" t="s">
        <v>11</v>
      </c>
      <c r="I6">
        <v>0</v>
      </c>
    </row>
    <row r="7" spans="1:9" x14ac:dyDescent="0.25">
      <c r="A7" s="4" t="s">
        <v>36</v>
      </c>
      <c r="B7" s="1" t="s">
        <v>31</v>
      </c>
      <c r="C7" s="1">
        <v>0.80310000000000004</v>
      </c>
      <c r="D7" s="1">
        <v>0.48049999999999998</v>
      </c>
      <c r="E7" s="1">
        <v>1.5484838387204341E-4</v>
      </c>
      <c r="F7" s="1">
        <v>-0.80379999999999996</v>
      </c>
      <c r="G7" s="1" t="s">
        <v>11</v>
      </c>
      <c r="H7" s="1" t="s">
        <v>11</v>
      </c>
      <c r="I7">
        <v>0</v>
      </c>
    </row>
    <row r="8" spans="1:9" x14ac:dyDescent="0.25">
      <c r="A8" s="4" t="s">
        <v>17</v>
      </c>
      <c r="B8" s="1" t="s">
        <v>10</v>
      </c>
      <c r="C8" s="1">
        <v>0.45050000000000001</v>
      </c>
      <c r="D8" s="1">
        <v>0.48089999999999999</v>
      </c>
      <c r="E8" s="1">
        <v>-6.1096301232923804E-5</v>
      </c>
      <c r="F8" s="1">
        <v>-0.45069999999999999</v>
      </c>
      <c r="G8" s="1" t="s">
        <v>11</v>
      </c>
      <c r="H8" s="1" t="s">
        <v>11</v>
      </c>
      <c r="I8">
        <v>0</v>
      </c>
    </row>
    <row r="9" spans="1:9" x14ac:dyDescent="0.25">
      <c r="A9" s="4" t="s">
        <v>18</v>
      </c>
      <c r="B9" s="1" t="s">
        <v>10</v>
      </c>
      <c r="C9" s="1">
        <v>0.83879999999999999</v>
      </c>
      <c r="D9" s="1">
        <v>0.49909999999999999</v>
      </c>
      <c r="E9" s="1">
        <v>3.587137620793067E-4</v>
      </c>
      <c r="F9" s="1">
        <v>-0.83860000000000001</v>
      </c>
      <c r="G9" s="1" t="s">
        <v>11</v>
      </c>
      <c r="H9" s="1" t="s">
        <v>11</v>
      </c>
      <c r="I9">
        <v>0</v>
      </c>
    </row>
    <row r="10" spans="1:9" x14ac:dyDescent="0.25">
      <c r="A10" s="4" t="s">
        <v>19</v>
      </c>
      <c r="B10" s="1" t="s">
        <v>10</v>
      </c>
      <c r="C10" s="1">
        <v>0.3125</v>
      </c>
      <c r="D10" s="1">
        <v>1.9800000000000002E-2</v>
      </c>
      <c r="E10" s="1">
        <v>3.6067977340886249E-4</v>
      </c>
      <c r="F10" s="1">
        <v>-0.31190000000000001</v>
      </c>
      <c r="G10" s="1" t="s">
        <v>11</v>
      </c>
      <c r="H10" s="1" t="s">
        <v>11</v>
      </c>
      <c r="I10">
        <v>0</v>
      </c>
    </row>
    <row r="11" spans="1:9" x14ac:dyDescent="0.25">
      <c r="A11" s="4" t="s">
        <v>20</v>
      </c>
      <c r="B11" s="1" t="s">
        <v>10</v>
      </c>
      <c r="C11" s="1">
        <v>0.82589999999999997</v>
      </c>
      <c r="D11" s="1">
        <v>1.9199999999999998E-2</v>
      </c>
      <c r="E11" s="1">
        <v>9.5168277240916321E-5</v>
      </c>
      <c r="F11" s="1">
        <v>-0.82720000000000005</v>
      </c>
      <c r="G11" s="1" t="s">
        <v>11</v>
      </c>
      <c r="H11" s="1" t="s">
        <v>11</v>
      </c>
      <c r="I11">
        <v>0</v>
      </c>
    </row>
    <row r="12" spans="1:9" x14ac:dyDescent="0.25">
      <c r="A12" s="4" t="s">
        <v>21</v>
      </c>
      <c r="B12" s="1" t="s">
        <v>10</v>
      </c>
      <c r="C12" s="1">
        <v>0.55220000000000002</v>
      </c>
      <c r="D12" s="1">
        <v>2.2499999999999999E-2</v>
      </c>
      <c r="E12" s="1">
        <v>-7.7707430856382412E-5</v>
      </c>
      <c r="F12" s="1">
        <v>-0.55259999999999998</v>
      </c>
      <c r="G12" s="1" t="s">
        <v>11</v>
      </c>
      <c r="H12" s="1" t="s">
        <v>11</v>
      </c>
      <c r="I12">
        <v>0</v>
      </c>
    </row>
    <row r="13" spans="1:9" x14ac:dyDescent="0.25">
      <c r="A13" s="4" t="s">
        <v>22</v>
      </c>
      <c r="B13" s="1" t="s">
        <v>10</v>
      </c>
      <c r="C13" s="1">
        <v>0.84889999999999999</v>
      </c>
      <c r="D13" s="1">
        <v>0.49980000000000002</v>
      </c>
      <c r="E13" s="1">
        <v>2.0768077307563689E-4</v>
      </c>
      <c r="F13" s="1">
        <v>-0.84889999999999999</v>
      </c>
      <c r="G13" s="1" t="s">
        <v>11</v>
      </c>
      <c r="H13" s="1" t="s">
        <v>11</v>
      </c>
      <c r="I13">
        <v>0</v>
      </c>
    </row>
    <row r="14" spans="1:9" x14ac:dyDescent="0.25">
      <c r="A14" s="4" t="s">
        <v>23</v>
      </c>
      <c r="B14" s="1" t="s">
        <v>10</v>
      </c>
      <c r="C14" s="1">
        <v>0.7712</v>
      </c>
      <c r="D14" s="1">
        <v>0.44059999999999999</v>
      </c>
      <c r="E14" s="1">
        <v>6.6544485171605912E-5</v>
      </c>
      <c r="F14" s="1">
        <v>-0.77129999999999999</v>
      </c>
      <c r="G14" s="1" t="s">
        <v>11</v>
      </c>
      <c r="H14" s="1" t="s">
        <v>11</v>
      </c>
      <c r="I14">
        <v>0</v>
      </c>
    </row>
    <row r="15" spans="1:9" x14ac:dyDescent="0.25">
      <c r="A15" s="4" t="s">
        <v>24</v>
      </c>
      <c r="B15" s="1" t="s">
        <v>10</v>
      </c>
      <c r="C15" s="1">
        <v>0.75549999999999995</v>
      </c>
      <c r="D15" s="1">
        <v>2.0899999999999998E-2</v>
      </c>
      <c r="E15" s="1">
        <v>1.4965011662779239E-4</v>
      </c>
      <c r="F15" s="1">
        <v>-0.75539999999999996</v>
      </c>
      <c r="G15" s="1" t="s">
        <v>11</v>
      </c>
      <c r="H15" s="1" t="s">
        <v>11</v>
      </c>
      <c r="I15">
        <v>0</v>
      </c>
    </row>
    <row r="16" spans="1:9" x14ac:dyDescent="0.25">
      <c r="A16" s="4" t="s">
        <v>25</v>
      </c>
      <c r="B16" s="1" t="s">
        <v>10</v>
      </c>
      <c r="C16" s="1">
        <v>0.8377</v>
      </c>
      <c r="D16" s="1">
        <v>0.18160000000000001</v>
      </c>
      <c r="E16" s="1">
        <v>9.6401199600133555E-5</v>
      </c>
      <c r="F16" s="1">
        <v>-0.83779999999999999</v>
      </c>
      <c r="G16" s="1" t="s">
        <v>11</v>
      </c>
      <c r="H16" s="1" t="s">
        <v>11</v>
      </c>
      <c r="I16">
        <v>0</v>
      </c>
    </row>
    <row r="17" spans="1:9" x14ac:dyDescent="0.25">
      <c r="A17" s="4" t="s">
        <v>26</v>
      </c>
      <c r="B17" s="1" t="s">
        <v>10</v>
      </c>
      <c r="C17" s="1">
        <v>0.9667</v>
      </c>
      <c r="D17" s="1">
        <v>0.10150000000000001</v>
      </c>
      <c r="E17" s="1">
        <v>-6.5844718427183089E-5</v>
      </c>
      <c r="F17" s="1">
        <v>-0.96709999999999996</v>
      </c>
      <c r="G17" s="1" t="s">
        <v>11</v>
      </c>
      <c r="H17" s="1" t="s">
        <v>11</v>
      </c>
      <c r="I17">
        <v>0</v>
      </c>
    </row>
    <row r="18" spans="1:9" x14ac:dyDescent="0.25">
      <c r="A18" s="4" t="s">
        <v>27</v>
      </c>
      <c r="B18" s="1" t="s">
        <v>10</v>
      </c>
      <c r="C18" s="1">
        <v>0.35549999999999998</v>
      </c>
      <c r="D18" s="1">
        <v>2.23E-2</v>
      </c>
      <c r="E18" s="1">
        <v>1.812062645784694E-4</v>
      </c>
      <c r="F18" s="1">
        <v>-0.35489999999999999</v>
      </c>
      <c r="G18" s="1" t="s">
        <v>11</v>
      </c>
      <c r="H18" s="1" t="s">
        <v>11</v>
      </c>
      <c r="I18">
        <v>0</v>
      </c>
    </row>
    <row r="19" spans="1:9" x14ac:dyDescent="0.25">
      <c r="A19" s="4" t="s">
        <v>28</v>
      </c>
      <c r="B19" s="1" t="s">
        <v>10</v>
      </c>
      <c r="C19" s="1">
        <v>0.67820000000000003</v>
      </c>
      <c r="D19" s="1">
        <v>2.0400000000000001E-2</v>
      </c>
      <c r="E19" s="1">
        <v>-3.2157614128623901E-4</v>
      </c>
      <c r="F19" s="1">
        <v>-0.67930000000000001</v>
      </c>
      <c r="G19" s="1" t="s">
        <v>11</v>
      </c>
      <c r="H19" s="1" t="s">
        <v>11</v>
      </c>
      <c r="I19">
        <v>0</v>
      </c>
    </row>
    <row r="20" spans="1:9" x14ac:dyDescent="0.25">
      <c r="A20" s="4" t="s">
        <v>29</v>
      </c>
      <c r="B20" s="1" t="s">
        <v>10</v>
      </c>
      <c r="C20" s="1">
        <v>0.87819999999999998</v>
      </c>
      <c r="D20" s="1">
        <v>1.9300000000000001E-2</v>
      </c>
      <c r="E20" s="1">
        <v>2.8323892036099569E-7</v>
      </c>
      <c r="F20" s="1">
        <v>-0.87949999999999995</v>
      </c>
      <c r="G20" s="1" t="s">
        <v>11</v>
      </c>
      <c r="H20" s="1" t="s">
        <v>11</v>
      </c>
      <c r="I20">
        <v>0</v>
      </c>
    </row>
    <row r="22" spans="1:9" x14ac:dyDescent="0.25">
      <c r="B22" t="s">
        <v>58</v>
      </c>
      <c r="C22" t="s">
        <v>59</v>
      </c>
      <c r="D22" t="s">
        <v>60</v>
      </c>
      <c r="E22" t="s">
        <v>61</v>
      </c>
      <c r="F22" t="s">
        <v>62</v>
      </c>
      <c r="G22" t="s">
        <v>67</v>
      </c>
    </row>
    <row r="23" spans="1:9" x14ac:dyDescent="0.25">
      <c r="A23" s="2" t="s">
        <v>50</v>
      </c>
      <c r="B23" s="2">
        <f>MAX(C2:C20)</f>
        <v>0.9667</v>
      </c>
      <c r="C23" s="2" t="str">
        <f>INDEX(Tabla2[Maquina],MATCH(B23,Tabla2[I_max '[pu']],0))</f>
        <v>Nueva Renca</v>
      </c>
      <c r="D23" s="2">
        <f>INDEX(Tabla2[I_max en t '[s']],MATCH(B23,Tabla2[I_max '[pu']],0))</f>
        <v>0.10150000000000001</v>
      </c>
      <c r="E23" s="2">
        <f>COUNTIF(G2:G20,"Si")</f>
        <v>0</v>
      </c>
      <c r="F23" s="2">
        <f>COUNTIF(H2:H20,"Si")</f>
        <v>0</v>
      </c>
      <c r="G23" s="8">
        <f>AVERAGE(Tabla2[I_max '[pu']])</f>
        <v>0.69681578947368406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8664-7376-4AE1-A90D-B060BD453512}">
  <dimension ref="A1:I24"/>
  <sheetViews>
    <sheetView workbookViewId="0">
      <selection activeCell="G24" sqref="G24"/>
    </sheetView>
  </sheetViews>
  <sheetFormatPr baseColWidth="10" defaultRowHeight="15" x14ac:dyDescent="0.25"/>
  <cols>
    <col min="1" max="1" width="20.42578125" bestFit="1" customWidth="1"/>
    <col min="2" max="2" width="15.140625" bestFit="1" customWidth="1"/>
    <col min="3" max="3" width="15" bestFit="1" customWidth="1"/>
    <col min="4" max="4" width="17.42578125" bestFit="1" customWidth="1"/>
    <col min="5" max="5" width="16.28515625" bestFit="1" customWidth="1"/>
    <col min="6" max="6" width="14.7109375" bestFit="1" customWidth="1"/>
    <col min="7" max="7" width="25.28515625" bestFit="1" customWidth="1"/>
    <col min="8" max="8" width="23.42578125" bestFit="1" customWidth="1"/>
    <col min="9" max="9" width="26.42578125" bestFit="1" customWidth="1"/>
  </cols>
  <sheetData>
    <row r="1" spans="1:9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4" t="s">
        <v>30</v>
      </c>
      <c r="B2" t="s">
        <v>31</v>
      </c>
      <c r="C2">
        <v>0.77100000000000002</v>
      </c>
      <c r="D2">
        <v>0.49869999999999998</v>
      </c>
      <c r="E2">
        <v>1.463012329223604E-4</v>
      </c>
      <c r="F2">
        <v>-0.77029999999999998</v>
      </c>
      <c r="G2" t="s">
        <v>11</v>
      </c>
      <c r="H2" t="s">
        <v>11</v>
      </c>
      <c r="I2">
        <v>0</v>
      </c>
    </row>
    <row r="3" spans="1:9" x14ac:dyDescent="0.25">
      <c r="A3" s="4" t="s">
        <v>32</v>
      </c>
      <c r="B3" t="s">
        <v>31</v>
      </c>
      <c r="C3">
        <v>0.67079999999999995</v>
      </c>
      <c r="D3">
        <v>0.49869999999999998</v>
      </c>
      <c r="E3">
        <v>1.36154615128289E-4</v>
      </c>
      <c r="F3">
        <v>-0.67010000000000003</v>
      </c>
      <c r="G3" t="s">
        <v>11</v>
      </c>
      <c r="H3" t="s">
        <v>11</v>
      </c>
      <c r="I3">
        <v>0</v>
      </c>
    </row>
    <row r="4" spans="1:9" x14ac:dyDescent="0.25">
      <c r="A4" s="4" t="s">
        <v>33</v>
      </c>
      <c r="B4" t="s">
        <v>31</v>
      </c>
      <c r="C4">
        <v>0.35949999999999999</v>
      </c>
      <c r="D4">
        <v>0.5</v>
      </c>
      <c r="E4">
        <v>9.2469176941018137E-5</v>
      </c>
      <c r="F4">
        <v>-0.35899999999999999</v>
      </c>
      <c r="G4" t="s">
        <v>11</v>
      </c>
      <c r="H4" t="s">
        <v>11</v>
      </c>
      <c r="I4">
        <v>0</v>
      </c>
    </row>
    <row r="5" spans="1:9" x14ac:dyDescent="0.25">
      <c r="A5" s="4" t="s">
        <v>34</v>
      </c>
      <c r="B5" t="s">
        <v>31</v>
      </c>
      <c r="C5">
        <v>0.77080000000000004</v>
      </c>
      <c r="D5">
        <v>0.49869999999999998</v>
      </c>
      <c r="E5">
        <v>1.456014661779435E-4</v>
      </c>
      <c r="F5">
        <v>-0.77010000000000001</v>
      </c>
      <c r="G5" t="s">
        <v>11</v>
      </c>
      <c r="H5" t="s">
        <v>11</v>
      </c>
      <c r="I5">
        <v>0</v>
      </c>
    </row>
    <row r="6" spans="1:9" x14ac:dyDescent="0.25">
      <c r="A6" s="4" t="s">
        <v>35</v>
      </c>
      <c r="B6" t="s">
        <v>31</v>
      </c>
      <c r="C6">
        <v>0.77649999999999997</v>
      </c>
      <c r="D6">
        <v>0.49930000000000002</v>
      </c>
      <c r="E6">
        <v>1.4631789403531741E-4</v>
      </c>
      <c r="F6">
        <v>-0.77590000000000003</v>
      </c>
      <c r="G6" t="s">
        <v>11</v>
      </c>
      <c r="H6" t="s">
        <v>11</v>
      </c>
      <c r="I6">
        <v>0</v>
      </c>
    </row>
    <row r="7" spans="1:9" x14ac:dyDescent="0.25">
      <c r="A7" s="4" t="s">
        <v>36</v>
      </c>
      <c r="B7" t="s">
        <v>31</v>
      </c>
      <c r="C7">
        <v>0.80010000000000003</v>
      </c>
      <c r="D7">
        <v>0.48049999999999998</v>
      </c>
      <c r="E7">
        <v>1.468510496501218E-4</v>
      </c>
      <c r="F7">
        <v>-0.80059999999999998</v>
      </c>
      <c r="G7" t="s">
        <v>11</v>
      </c>
      <c r="H7" t="s">
        <v>11</v>
      </c>
      <c r="I7">
        <v>0</v>
      </c>
    </row>
    <row r="8" spans="1:9" x14ac:dyDescent="0.25">
      <c r="A8" s="4" t="s">
        <v>37</v>
      </c>
      <c r="B8" t="s">
        <v>31</v>
      </c>
      <c r="C8">
        <v>0.45860000000000001</v>
      </c>
      <c r="D8">
        <v>0.48080000000000001</v>
      </c>
      <c r="E8">
        <v>9.7117627457516594E-5</v>
      </c>
      <c r="F8">
        <v>-0.45910000000000001</v>
      </c>
      <c r="G8" t="s">
        <v>11</v>
      </c>
      <c r="H8" t="s">
        <v>11</v>
      </c>
      <c r="I8">
        <v>0</v>
      </c>
    </row>
    <row r="9" spans="1:9" x14ac:dyDescent="0.25">
      <c r="A9" s="4" t="s">
        <v>38</v>
      </c>
      <c r="B9" t="s">
        <v>31</v>
      </c>
      <c r="C9">
        <v>0.85440000000000005</v>
      </c>
      <c r="D9">
        <v>0.49909999999999999</v>
      </c>
      <c r="E9">
        <v>1.7430856381206539E-4</v>
      </c>
      <c r="F9">
        <v>-0.8538</v>
      </c>
      <c r="G9" t="s">
        <v>11</v>
      </c>
      <c r="H9" t="s">
        <v>11</v>
      </c>
      <c r="I9">
        <v>0</v>
      </c>
    </row>
    <row r="10" spans="1:9" x14ac:dyDescent="0.25">
      <c r="A10" s="4" t="s">
        <v>39</v>
      </c>
      <c r="B10" t="s">
        <v>31</v>
      </c>
      <c r="C10">
        <v>0.34939999999999999</v>
      </c>
      <c r="D10">
        <v>0.49990000000000001</v>
      </c>
      <c r="E10">
        <v>1.32955681439524E-5</v>
      </c>
      <c r="F10">
        <v>-0.34910000000000002</v>
      </c>
      <c r="G10" t="s">
        <v>11</v>
      </c>
      <c r="H10" t="s">
        <v>11</v>
      </c>
      <c r="I10">
        <v>0</v>
      </c>
    </row>
    <row r="11" spans="1:9" x14ac:dyDescent="0.25">
      <c r="A11" s="4" t="s">
        <v>20</v>
      </c>
      <c r="B11" t="s">
        <v>10</v>
      </c>
      <c r="C11">
        <v>0.82579999999999998</v>
      </c>
      <c r="D11">
        <v>1.9199999999999998E-2</v>
      </c>
      <c r="E11">
        <v>1.047317560812983E-4</v>
      </c>
      <c r="F11">
        <v>-0.82720000000000005</v>
      </c>
      <c r="G11" t="s">
        <v>11</v>
      </c>
      <c r="H11" t="s">
        <v>11</v>
      </c>
      <c r="I11">
        <v>0</v>
      </c>
    </row>
    <row r="12" spans="1:9" x14ac:dyDescent="0.25">
      <c r="A12" s="4" t="s">
        <v>21</v>
      </c>
      <c r="B12" t="s">
        <v>10</v>
      </c>
      <c r="C12">
        <v>0.55200000000000005</v>
      </c>
      <c r="D12">
        <v>2.2499999999999999E-2</v>
      </c>
      <c r="E12">
        <v>-5.8580473175611287E-5</v>
      </c>
      <c r="F12">
        <v>-0.5524</v>
      </c>
      <c r="G12" t="s">
        <v>11</v>
      </c>
      <c r="H12" t="s">
        <v>11</v>
      </c>
      <c r="I12">
        <v>0</v>
      </c>
    </row>
    <row r="13" spans="1:9" x14ac:dyDescent="0.25">
      <c r="A13" s="4" t="s">
        <v>22</v>
      </c>
      <c r="B13" t="s">
        <v>10</v>
      </c>
      <c r="C13">
        <v>0.84789999999999999</v>
      </c>
      <c r="D13">
        <v>0.49980000000000002</v>
      </c>
      <c r="E13">
        <v>3.1911029656781159E-4</v>
      </c>
      <c r="F13">
        <v>-0.8478</v>
      </c>
      <c r="G13" t="s">
        <v>11</v>
      </c>
      <c r="H13" t="s">
        <v>11</v>
      </c>
      <c r="I13">
        <v>0</v>
      </c>
    </row>
    <row r="14" spans="1:9" x14ac:dyDescent="0.25">
      <c r="A14" s="4" t="s">
        <v>23</v>
      </c>
      <c r="B14" t="s">
        <v>10</v>
      </c>
      <c r="C14">
        <v>0.76570000000000005</v>
      </c>
      <c r="D14">
        <v>0.44040000000000001</v>
      </c>
      <c r="E14">
        <v>7.6641119626789432E-5</v>
      </c>
      <c r="F14">
        <v>-0.76580000000000004</v>
      </c>
      <c r="G14" t="s">
        <v>11</v>
      </c>
      <c r="H14" t="s">
        <v>11</v>
      </c>
      <c r="I14">
        <v>0</v>
      </c>
    </row>
    <row r="15" spans="1:9" x14ac:dyDescent="0.25">
      <c r="A15" s="4" t="s">
        <v>24</v>
      </c>
      <c r="B15" t="s">
        <v>10</v>
      </c>
      <c r="C15">
        <v>0.75529999999999997</v>
      </c>
      <c r="D15">
        <v>2.0899999999999998E-2</v>
      </c>
      <c r="E15">
        <v>1.7589136954348581E-4</v>
      </c>
      <c r="F15">
        <v>-0.75519999999999998</v>
      </c>
      <c r="G15" t="s">
        <v>11</v>
      </c>
      <c r="H15" t="s">
        <v>11</v>
      </c>
      <c r="I15">
        <v>0</v>
      </c>
    </row>
    <row r="16" spans="1:9" x14ac:dyDescent="0.25">
      <c r="A16" s="4" t="s">
        <v>25</v>
      </c>
      <c r="B16" t="s">
        <v>10</v>
      </c>
      <c r="C16">
        <v>0.81140000000000001</v>
      </c>
      <c r="D16">
        <v>0.18110000000000001</v>
      </c>
      <c r="E16">
        <v>1.2829056981005849E-4</v>
      </c>
      <c r="F16">
        <v>-0.81140000000000001</v>
      </c>
      <c r="G16" t="s">
        <v>11</v>
      </c>
      <c r="H16" t="s">
        <v>11</v>
      </c>
      <c r="I16">
        <v>0</v>
      </c>
    </row>
    <row r="17" spans="1:9" x14ac:dyDescent="0.25">
      <c r="A17" s="4" t="s">
        <v>26</v>
      </c>
      <c r="B17" t="s">
        <v>10</v>
      </c>
      <c r="C17">
        <v>0.96630000000000005</v>
      </c>
      <c r="D17">
        <v>8.1500000000000003E-2</v>
      </c>
      <c r="E17">
        <v>-5.1299566811060027E-5</v>
      </c>
      <c r="F17">
        <v>-0.9667</v>
      </c>
      <c r="G17" t="s">
        <v>11</v>
      </c>
      <c r="H17" t="s">
        <v>11</v>
      </c>
      <c r="I17">
        <v>0</v>
      </c>
    </row>
    <row r="18" spans="1:9" x14ac:dyDescent="0.25">
      <c r="A18" s="4" t="s">
        <v>27</v>
      </c>
      <c r="B18" t="s">
        <v>10</v>
      </c>
      <c r="C18">
        <v>0.35539999999999999</v>
      </c>
      <c r="D18">
        <v>2.23E-2</v>
      </c>
      <c r="E18">
        <v>1.8758747084305261E-4</v>
      </c>
      <c r="F18">
        <v>-0.3548</v>
      </c>
      <c r="G18" t="s">
        <v>11</v>
      </c>
      <c r="H18" t="s">
        <v>11</v>
      </c>
      <c r="I18">
        <v>0</v>
      </c>
    </row>
    <row r="19" spans="1:9" x14ac:dyDescent="0.25">
      <c r="A19" s="4" t="s">
        <v>28</v>
      </c>
      <c r="B19" t="s">
        <v>10</v>
      </c>
      <c r="C19">
        <v>0.67800000000000005</v>
      </c>
      <c r="D19">
        <v>2.0400000000000001E-2</v>
      </c>
      <c r="E19">
        <v>-3.1407864045318611E-4</v>
      </c>
      <c r="F19">
        <v>-0.67910000000000004</v>
      </c>
      <c r="G19" t="s">
        <v>11</v>
      </c>
      <c r="H19" t="s">
        <v>11</v>
      </c>
      <c r="I19">
        <v>0</v>
      </c>
    </row>
    <row r="20" spans="1:9" x14ac:dyDescent="0.25">
      <c r="A20" s="4" t="s">
        <v>29</v>
      </c>
      <c r="B20" t="s">
        <v>10</v>
      </c>
      <c r="C20">
        <v>0.87809999999999999</v>
      </c>
      <c r="D20">
        <v>1.9300000000000001E-2</v>
      </c>
      <c r="E20">
        <v>9.3802065978013648E-6</v>
      </c>
      <c r="F20">
        <v>-0.87939999999999996</v>
      </c>
      <c r="G20" t="s">
        <v>11</v>
      </c>
      <c r="H20" t="s">
        <v>11</v>
      </c>
      <c r="I20">
        <v>0</v>
      </c>
    </row>
    <row r="23" spans="1:9" x14ac:dyDescent="0.25">
      <c r="B23" t="s">
        <v>58</v>
      </c>
      <c r="C23" t="s">
        <v>59</v>
      </c>
      <c r="D23" t="s">
        <v>60</v>
      </c>
      <c r="E23" t="s">
        <v>61</v>
      </c>
      <c r="F23" t="s">
        <v>62</v>
      </c>
      <c r="G23" t="s">
        <v>67</v>
      </c>
    </row>
    <row r="24" spans="1:9" x14ac:dyDescent="0.25">
      <c r="A24" s="2" t="s">
        <v>50</v>
      </c>
      <c r="B24" s="2">
        <f>MAX(C2:C20)</f>
        <v>0.96630000000000005</v>
      </c>
      <c r="C24" s="2" t="str">
        <f>INDEX(Tabla3[Maquina],MATCH(B24,Tabla3[I_max '[pu']],0))</f>
        <v>Nueva Renca</v>
      </c>
      <c r="D24" s="2">
        <f>INDEX(Tabla3[I_max en t '[s']],MATCH(B24,Tabla3[I_max '[pu']],0))</f>
        <v>8.1500000000000003E-2</v>
      </c>
      <c r="E24" s="2">
        <f>COUNTIF(G2:G20,"Si")</f>
        <v>0</v>
      </c>
      <c r="F24" s="2">
        <f>COUNTIF(H2:H20,"Si")</f>
        <v>0</v>
      </c>
      <c r="G24" s="8">
        <f>AVERAGE(Tabla3[I_max '[pu']])</f>
        <v>0.69721052631578961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8C47-020C-487F-977A-077D0C6DD9B3}">
  <dimension ref="A1:I24"/>
  <sheetViews>
    <sheetView workbookViewId="0">
      <selection activeCell="G24" sqref="G24"/>
    </sheetView>
  </sheetViews>
  <sheetFormatPr baseColWidth="10" defaultRowHeight="15" x14ac:dyDescent="0.25"/>
  <cols>
    <col min="1" max="1" width="19.7109375" bestFit="1" customWidth="1"/>
    <col min="2" max="2" width="15.140625" bestFit="1" customWidth="1"/>
    <col min="3" max="3" width="15" bestFit="1" customWidth="1"/>
    <col min="4" max="4" width="17.42578125" bestFit="1" customWidth="1"/>
    <col min="5" max="5" width="16.28515625" bestFit="1" customWidth="1"/>
    <col min="6" max="6" width="14.7109375" bestFit="1" customWidth="1"/>
    <col min="7" max="7" width="25.28515625" bestFit="1" customWidth="1"/>
    <col min="8" max="8" width="23.42578125" bestFit="1" customWidth="1"/>
    <col min="9" max="9" width="26.42578125" bestFit="1" customWidth="1"/>
  </cols>
  <sheetData>
    <row r="1" spans="1:9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4" t="s">
        <v>30</v>
      </c>
      <c r="B2" t="s">
        <v>31</v>
      </c>
      <c r="C2">
        <v>0.76759999999999995</v>
      </c>
      <c r="D2">
        <v>0.49890000000000001</v>
      </c>
      <c r="E2">
        <v>1.35221592802399E-4</v>
      </c>
      <c r="F2">
        <v>-0.76719999999999999</v>
      </c>
      <c r="G2" t="s">
        <v>11</v>
      </c>
      <c r="H2" t="s">
        <v>11</v>
      </c>
      <c r="I2">
        <v>0</v>
      </c>
    </row>
    <row r="3" spans="1:9" x14ac:dyDescent="0.25">
      <c r="A3" s="4" t="s">
        <v>32</v>
      </c>
      <c r="B3" t="s">
        <v>31</v>
      </c>
      <c r="C3">
        <v>0.66210000000000002</v>
      </c>
      <c r="D3">
        <v>0.49890000000000001</v>
      </c>
      <c r="E3">
        <v>1.2099300233255969E-4</v>
      </c>
      <c r="F3">
        <v>-0.66169999999999995</v>
      </c>
      <c r="G3" t="s">
        <v>11</v>
      </c>
      <c r="H3" t="s">
        <v>11</v>
      </c>
      <c r="I3">
        <v>0</v>
      </c>
    </row>
    <row r="4" spans="1:9" x14ac:dyDescent="0.25">
      <c r="A4" s="4" t="s">
        <v>33</v>
      </c>
      <c r="B4" t="s">
        <v>31</v>
      </c>
      <c r="C4">
        <v>0.35139999999999999</v>
      </c>
      <c r="D4">
        <v>0.48020000000000002</v>
      </c>
      <c r="E4">
        <v>9.4601799400199354E-5</v>
      </c>
      <c r="F4">
        <v>-0.35170000000000001</v>
      </c>
      <c r="G4" t="s">
        <v>11</v>
      </c>
      <c r="H4" t="s">
        <v>11</v>
      </c>
      <c r="I4">
        <v>0</v>
      </c>
    </row>
    <row r="5" spans="1:9" x14ac:dyDescent="0.25">
      <c r="A5" s="4" t="s">
        <v>34</v>
      </c>
      <c r="B5" t="s">
        <v>31</v>
      </c>
      <c r="C5">
        <v>0.76739999999999997</v>
      </c>
      <c r="D5">
        <v>0.49890000000000001</v>
      </c>
      <c r="E5">
        <v>1.3457180939686721E-4</v>
      </c>
      <c r="F5">
        <v>-0.76700000000000002</v>
      </c>
      <c r="G5" t="s">
        <v>11</v>
      </c>
      <c r="H5" t="s">
        <v>11</v>
      </c>
      <c r="I5">
        <v>0</v>
      </c>
    </row>
    <row r="6" spans="1:9" x14ac:dyDescent="0.25">
      <c r="A6" s="4" t="s">
        <v>35</v>
      </c>
      <c r="B6" t="s">
        <v>31</v>
      </c>
      <c r="C6">
        <v>0.76819999999999999</v>
      </c>
      <c r="D6">
        <v>0.4995</v>
      </c>
      <c r="E6">
        <v>1.3400533155614341E-4</v>
      </c>
      <c r="F6">
        <v>-0.76780000000000004</v>
      </c>
      <c r="G6" t="s">
        <v>11</v>
      </c>
      <c r="H6" t="s">
        <v>11</v>
      </c>
      <c r="I6">
        <v>0</v>
      </c>
    </row>
    <row r="7" spans="1:9" x14ac:dyDescent="0.25">
      <c r="A7" s="4" t="s">
        <v>36</v>
      </c>
      <c r="B7" t="s">
        <v>31</v>
      </c>
      <c r="C7">
        <v>0.79390000000000005</v>
      </c>
      <c r="D7">
        <v>0.48070000000000002</v>
      </c>
      <c r="E7">
        <v>1.5568143952016111E-4</v>
      </c>
      <c r="F7">
        <v>-0.79420000000000002</v>
      </c>
      <c r="G7" t="s">
        <v>11</v>
      </c>
      <c r="H7" t="s">
        <v>11</v>
      </c>
      <c r="I7">
        <v>0</v>
      </c>
    </row>
    <row r="8" spans="1:9" x14ac:dyDescent="0.25">
      <c r="A8" s="4" t="s">
        <v>37</v>
      </c>
      <c r="B8" t="s">
        <v>31</v>
      </c>
      <c r="C8">
        <v>0.45279999999999998</v>
      </c>
      <c r="D8">
        <v>0.48099999999999998</v>
      </c>
      <c r="E8">
        <v>1.00383205598135E-4</v>
      </c>
      <c r="F8">
        <v>-0.4531</v>
      </c>
      <c r="G8" t="s">
        <v>11</v>
      </c>
      <c r="H8" t="s">
        <v>11</v>
      </c>
      <c r="I8">
        <v>0</v>
      </c>
    </row>
    <row r="9" spans="1:9" x14ac:dyDescent="0.25">
      <c r="A9" s="4" t="s">
        <v>38</v>
      </c>
      <c r="B9" t="s">
        <v>31</v>
      </c>
      <c r="C9">
        <v>0.85089999999999999</v>
      </c>
      <c r="D9">
        <v>0.49959999999999999</v>
      </c>
      <c r="E9">
        <v>1.8358880373208701E-4</v>
      </c>
      <c r="F9">
        <v>-0.85050000000000003</v>
      </c>
      <c r="G9" t="s">
        <v>11</v>
      </c>
      <c r="H9" t="s">
        <v>11</v>
      </c>
      <c r="I9">
        <v>0</v>
      </c>
    </row>
    <row r="10" spans="1:9" x14ac:dyDescent="0.25">
      <c r="A10" s="4" t="s">
        <v>39</v>
      </c>
      <c r="B10" t="s">
        <v>31</v>
      </c>
      <c r="C10">
        <v>0.32919999999999999</v>
      </c>
      <c r="D10">
        <v>0.48039999999999999</v>
      </c>
      <c r="E10">
        <v>-3.8653782072657436E-6</v>
      </c>
      <c r="F10">
        <v>-0.32929999999999998</v>
      </c>
      <c r="G10" t="s">
        <v>11</v>
      </c>
      <c r="H10" t="s">
        <v>11</v>
      </c>
      <c r="I10">
        <v>0</v>
      </c>
    </row>
    <row r="11" spans="1:9" x14ac:dyDescent="0.25">
      <c r="A11" s="4" t="s">
        <v>40</v>
      </c>
      <c r="B11" t="s">
        <v>31</v>
      </c>
      <c r="C11">
        <v>0.84019999999999995</v>
      </c>
      <c r="D11">
        <v>0.35970000000000002</v>
      </c>
      <c r="E11">
        <v>1.150616461179648E-4</v>
      </c>
      <c r="F11">
        <v>-0.84019999999999995</v>
      </c>
      <c r="G11" t="s">
        <v>11</v>
      </c>
      <c r="H11" t="s">
        <v>11</v>
      </c>
      <c r="I11">
        <v>0</v>
      </c>
    </row>
    <row r="12" spans="1:9" x14ac:dyDescent="0.25">
      <c r="A12" s="4" t="s">
        <v>41</v>
      </c>
      <c r="B12" t="s">
        <v>31</v>
      </c>
      <c r="C12">
        <v>0.60309999999999997</v>
      </c>
      <c r="D12">
        <v>0.46329999999999999</v>
      </c>
      <c r="E12">
        <v>-2.5341552815727629E-5</v>
      </c>
      <c r="F12">
        <v>-0.60309999999999997</v>
      </c>
      <c r="G12" t="s">
        <v>11</v>
      </c>
      <c r="H12" t="s">
        <v>11</v>
      </c>
      <c r="I12">
        <v>0</v>
      </c>
    </row>
    <row r="13" spans="1:9" x14ac:dyDescent="0.25">
      <c r="A13" s="4" t="s">
        <v>42</v>
      </c>
      <c r="B13" t="s">
        <v>31</v>
      </c>
      <c r="C13">
        <v>0.86429999999999996</v>
      </c>
      <c r="D13">
        <v>0.48010000000000003</v>
      </c>
      <c r="E13">
        <v>1.8113962012662139E-4</v>
      </c>
      <c r="F13">
        <v>-0.86470000000000002</v>
      </c>
      <c r="G13" t="s">
        <v>11</v>
      </c>
      <c r="H13" t="s">
        <v>11</v>
      </c>
      <c r="I13">
        <v>0</v>
      </c>
    </row>
    <row r="14" spans="1:9" x14ac:dyDescent="0.25">
      <c r="A14" s="4" t="s">
        <v>43</v>
      </c>
      <c r="B14" t="s">
        <v>31</v>
      </c>
      <c r="C14">
        <v>0.78190000000000004</v>
      </c>
      <c r="D14">
        <v>0.4829</v>
      </c>
      <c r="E14">
        <v>-2.212595801399704E-5</v>
      </c>
      <c r="F14">
        <v>-0.78220000000000001</v>
      </c>
      <c r="G14" t="s">
        <v>11</v>
      </c>
      <c r="H14" t="s">
        <v>11</v>
      </c>
      <c r="I14">
        <v>0</v>
      </c>
    </row>
    <row r="15" spans="1:9" x14ac:dyDescent="0.25">
      <c r="A15" s="4" t="s">
        <v>44</v>
      </c>
      <c r="B15" t="s">
        <v>31</v>
      </c>
      <c r="C15">
        <v>0.76919999999999999</v>
      </c>
      <c r="D15">
        <v>0.48149999999999998</v>
      </c>
      <c r="E15">
        <v>2.8590469843381062E-5</v>
      </c>
      <c r="F15">
        <v>-0.76919999999999999</v>
      </c>
      <c r="G15" t="s">
        <v>11</v>
      </c>
      <c r="H15" t="s">
        <v>11</v>
      </c>
      <c r="I15">
        <v>0</v>
      </c>
    </row>
    <row r="16" spans="1:9" x14ac:dyDescent="0.25">
      <c r="A16" s="4" t="s">
        <v>25</v>
      </c>
      <c r="B16" t="s">
        <v>10</v>
      </c>
      <c r="C16">
        <v>0.83850000000000002</v>
      </c>
      <c r="D16">
        <v>3.0999999999999999E-3</v>
      </c>
      <c r="E16">
        <v>7.290903032322733E-5</v>
      </c>
      <c r="F16">
        <v>-0.83850000000000002</v>
      </c>
      <c r="G16" t="s">
        <v>11</v>
      </c>
      <c r="H16" t="s">
        <v>11</v>
      </c>
      <c r="I16">
        <v>0</v>
      </c>
    </row>
    <row r="17" spans="1:9" x14ac:dyDescent="0.25">
      <c r="A17" s="4" t="s">
        <v>26</v>
      </c>
      <c r="B17" t="s">
        <v>10</v>
      </c>
      <c r="C17">
        <v>0.98040000000000005</v>
      </c>
      <c r="D17">
        <v>6.2100000000000002E-2</v>
      </c>
      <c r="E17">
        <v>-7.7974008663821944E-6</v>
      </c>
      <c r="F17">
        <v>-0.98070000000000002</v>
      </c>
      <c r="G17" t="s">
        <v>11</v>
      </c>
      <c r="H17" t="s">
        <v>11</v>
      </c>
      <c r="I17">
        <v>0</v>
      </c>
    </row>
    <row r="18" spans="1:9" x14ac:dyDescent="0.25">
      <c r="A18" s="4" t="s">
        <v>27</v>
      </c>
      <c r="B18" t="s">
        <v>10</v>
      </c>
      <c r="C18">
        <v>0.36230000000000001</v>
      </c>
      <c r="D18">
        <v>3.0999999999999999E-3</v>
      </c>
      <c r="E18">
        <v>3.1577807397534371E-4</v>
      </c>
      <c r="F18">
        <v>-0.35930000000000001</v>
      </c>
      <c r="G18" t="s">
        <v>11</v>
      </c>
      <c r="H18" t="s">
        <v>11</v>
      </c>
      <c r="I18">
        <v>0</v>
      </c>
    </row>
    <row r="19" spans="1:9" x14ac:dyDescent="0.25">
      <c r="A19" s="4" t="s">
        <v>28</v>
      </c>
      <c r="B19" t="s">
        <v>10</v>
      </c>
      <c r="C19">
        <v>0.7056</v>
      </c>
      <c r="D19">
        <v>2.1100000000000001E-2</v>
      </c>
      <c r="E19">
        <v>-2.9503498833723059E-4</v>
      </c>
      <c r="F19">
        <v>-0.70760000000000001</v>
      </c>
      <c r="G19" t="s">
        <v>11</v>
      </c>
      <c r="H19" t="s">
        <v>11</v>
      </c>
      <c r="I19">
        <v>0</v>
      </c>
    </row>
    <row r="20" spans="1:9" x14ac:dyDescent="0.25">
      <c r="A20" s="4" t="s">
        <v>29</v>
      </c>
      <c r="B20" t="s">
        <v>10</v>
      </c>
      <c r="C20">
        <v>0.87709999999999999</v>
      </c>
      <c r="D20">
        <v>1.9900000000000001E-2</v>
      </c>
      <c r="E20">
        <v>3.3538820393199273E-5</v>
      </c>
      <c r="F20">
        <v>-0.87780000000000002</v>
      </c>
      <c r="G20" t="s">
        <v>11</v>
      </c>
      <c r="H20" t="s">
        <v>11</v>
      </c>
      <c r="I20">
        <v>0</v>
      </c>
    </row>
    <row r="23" spans="1:9" x14ac:dyDescent="0.25">
      <c r="B23" t="s">
        <v>58</v>
      </c>
      <c r="C23" t="s">
        <v>59</v>
      </c>
      <c r="D23" t="s">
        <v>60</v>
      </c>
      <c r="E23" t="s">
        <v>61</v>
      </c>
      <c r="F23" t="s">
        <v>62</v>
      </c>
      <c r="G23" t="s">
        <v>67</v>
      </c>
    </row>
    <row r="24" spans="1:9" x14ac:dyDescent="0.25">
      <c r="A24" s="2" t="s">
        <v>50</v>
      </c>
      <c r="B24" s="2">
        <f>MAX(C2:C20)</f>
        <v>0.98040000000000005</v>
      </c>
      <c r="C24" s="2" t="str">
        <f>INDEX(Tabla4[Maquina],MATCH(B24,Tabla4[I_max '[pu']],0))</f>
        <v>Nueva Renca</v>
      </c>
      <c r="D24" s="2">
        <f>INDEX(Tabla4[I_max en t '[s']],MATCH(B24,Tabla4[I_max '[pu']],0))</f>
        <v>6.2100000000000002E-2</v>
      </c>
      <c r="E24" s="2">
        <f>COUNTIF(G2:G20,"Si")</f>
        <v>0</v>
      </c>
      <c r="F24" s="2">
        <f>COUNTIF(H2:H20,"Si")</f>
        <v>0</v>
      </c>
      <c r="G24" s="8">
        <f>AVERAGE(Tabla4[I_max '[pu']])</f>
        <v>0.70347894736842098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1466-22A3-4D88-9680-B8BD86BD429A}">
  <dimension ref="A1:I24"/>
  <sheetViews>
    <sheetView workbookViewId="0">
      <selection activeCell="G24" sqref="G24"/>
    </sheetView>
  </sheetViews>
  <sheetFormatPr baseColWidth="10" defaultRowHeight="15" x14ac:dyDescent="0.25"/>
  <cols>
    <col min="1" max="1" width="20.42578125" bestFit="1" customWidth="1"/>
    <col min="2" max="2" width="15.140625" bestFit="1" customWidth="1"/>
    <col min="3" max="3" width="17.28515625" bestFit="1" customWidth="1"/>
    <col min="4" max="4" width="17.42578125" bestFit="1" customWidth="1"/>
    <col min="5" max="5" width="16.28515625" bestFit="1" customWidth="1"/>
    <col min="6" max="6" width="14.7109375" bestFit="1" customWidth="1"/>
    <col min="7" max="7" width="25.28515625" bestFit="1" customWidth="1"/>
    <col min="8" max="8" width="23.42578125" bestFit="1" customWidth="1"/>
    <col min="9" max="9" width="26.42578125" bestFit="1" customWidth="1"/>
  </cols>
  <sheetData>
    <row r="1" spans="1:9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4" t="s">
        <v>30</v>
      </c>
      <c r="B2" t="s">
        <v>31</v>
      </c>
      <c r="C2">
        <v>0.75900000000000001</v>
      </c>
      <c r="D2">
        <v>0.49890000000000001</v>
      </c>
      <c r="E2">
        <v>1.3693768743751781E-4</v>
      </c>
      <c r="F2">
        <v>-0.75900000000000001</v>
      </c>
      <c r="G2" t="s">
        <v>11</v>
      </c>
      <c r="H2" t="s">
        <v>11</v>
      </c>
      <c r="I2">
        <v>0</v>
      </c>
    </row>
    <row r="3" spans="1:9" x14ac:dyDescent="0.25">
      <c r="A3" s="4" t="s">
        <v>32</v>
      </c>
      <c r="B3" t="s">
        <v>31</v>
      </c>
      <c r="C3">
        <v>0.65400000000000003</v>
      </c>
      <c r="D3">
        <v>0.49890000000000001</v>
      </c>
      <c r="E3">
        <v>1.211762745751484E-4</v>
      </c>
      <c r="F3">
        <v>-0.65369999999999995</v>
      </c>
      <c r="G3" t="s">
        <v>11</v>
      </c>
      <c r="H3" t="s">
        <v>11</v>
      </c>
      <c r="I3">
        <v>0</v>
      </c>
    </row>
    <row r="4" spans="1:9" x14ac:dyDescent="0.25">
      <c r="A4" s="4" t="s">
        <v>33</v>
      </c>
      <c r="B4" t="s">
        <v>31</v>
      </c>
      <c r="C4">
        <v>0.34560000000000002</v>
      </c>
      <c r="D4">
        <v>0.48020000000000002</v>
      </c>
      <c r="E4">
        <v>9.2069310229923648E-5</v>
      </c>
      <c r="F4">
        <v>-0.3458</v>
      </c>
      <c r="G4" t="s">
        <v>11</v>
      </c>
      <c r="H4" t="s">
        <v>11</v>
      </c>
      <c r="I4">
        <v>0</v>
      </c>
    </row>
    <row r="5" spans="1:9" x14ac:dyDescent="0.25">
      <c r="A5" s="4" t="s">
        <v>34</v>
      </c>
      <c r="B5" t="s">
        <v>31</v>
      </c>
      <c r="C5">
        <v>0.75880000000000003</v>
      </c>
      <c r="D5">
        <v>0.49890000000000001</v>
      </c>
      <c r="E5">
        <v>1.3727090969676569E-4</v>
      </c>
      <c r="F5">
        <v>-0.75880000000000003</v>
      </c>
      <c r="G5" t="s">
        <v>11</v>
      </c>
      <c r="H5" t="s">
        <v>11</v>
      </c>
      <c r="I5">
        <v>0</v>
      </c>
    </row>
    <row r="6" spans="1:9" x14ac:dyDescent="0.25">
      <c r="A6" s="4" t="s">
        <v>35</v>
      </c>
      <c r="B6" t="s">
        <v>31</v>
      </c>
      <c r="C6">
        <v>0.75990000000000002</v>
      </c>
      <c r="D6">
        <v>0.4995</v>
      </c>
      <c r="E6">
        <v>1.361046317894042E-4</v>
      </c>
      <c r="F6">
        <v>-0.76090000000000002</v>
      </c>
      <c r="G6" t="s">
        <v>11</v>
      </c>
      <c r="H6" t="s">
        <v>11</v>
      </c>
      <c r="I6">
        <v>0</v>
      </c>
    </row>
    <row r="7" spans="1:9" x14ac:dyDescent="0.25">
      <c r="A7" s="4" t="s">
        <v>36</v>
      </c>
      <c r="B7" t="s">
        <v>31</v>
      </c>
      <c r="C7">
        <v>0.7883</v>
      </c>
      <c r="D7">
        <v>0.48070000000000002</v>
      </c>
      <c r="E7">
        <v>1.5924691769411139E-4</v>
      </c>
      <c r="F7">
        <v>-0.78869999999999996</v>
      </c>
      <c r="G7" t="s">
        <v>11</v>
      </c>
      <c r="H7" t="s">
        <v>11</v>
      </c>
      <c r="I7">
        <v>0</v>
      </c>
    </row>
    <row r="8" spans="1:9" x14ac:dyDescent="0.25">
      <c r="A8" s="4" t="s">
        <v>37</v>
      </c>
      <c r="B8" t="s">
        <v>31</v>
      </c>
      <c r="C8">
        <v>0.44750000000000001</v>
      </c>
      <c r="D8">
        <v>0.48099999999999998</v>
      </c>
      <c r="E8">
        <v>9.9200266577805863E-5</v>
      </c>
      <c r="F8">
        <v>-0.4476</v>
      </c>
      <c r="G8" t="s">
        <v>11</v>
      </c>
      <c r="H8" t="s">
        <v>11</v>
      </c>
      <c r="I8">
        <v>0</v>
      </c>
    </row>
    <row r="9" spans="1:9" x14ac:dyDescent="0.25">
      <c r="A9" s="4" t="s">
        <v>38</v>
      </c>
      <c r="B9" t="s">
        <v>31</v>
      </c>
      <c r="C9">
        <v>0.84419999999999995</v>
      </c>
      <c r="D9">
        <v>0.4995</v>
      </c>
      <c r="E9">
        <v>1.847550816394521E-4</v>
      </c>
      <c r="F9">
        <v>-0.84409999999999996</v>
      </c>
      <c r="G9" t="s">
        <v>11</v>
      </c>
      <c r="H9" t="s">
        <v>11</v>
      </c>
      <c r="I9">
        <v>0</v>
      </c>
    </row>
    <row r="10" spans="1:9" x14ac:dyDescent="0.25">
      <c r="A10" s="4" t="s">
        <v>39</v>
      </c>
      <c r="B10" t="s">
        <v>31</v>
      </c>
      <c r="C10">
        <v>0.31319999999999998</v>
      </c>
      <c r="D10">
        <v>0.44040000000000001</v>
      </c>
      <c r="E10">
        <v>1.697767410862951E-5</v>
      </c>
      <c r="F10">
        <v>-0.31319999999999998</v>
      </c>
      <c r="G10" t="s">
        <v>11</v>
      </c>
      <c r="H10" t="s">
        <v>11</v>
      </c>
      <c r="I10">
        <v>0</v>
      </c>
    </row>
    <row r="11" spans="1:9" x14ac:dyDescent="0.25">
      <c r="A11" s="4" t="s">
        <v>40</v>
      </c>
      <c r="B11" t="s">
        <v>31</v>
      </c>
      <c r="C11">
        <v>0.82730000000000004</v>
      </c>
      <c r="D11">
        <v>1.9699999999999999E-2</v>
      </c>
      <c r="E11">
        <v>8.7920693102293209E-5</v>
      </c>
      <c r="F11">
        <v>-0.82640000000000002</v>
      </c>
      <c r="G11" t="s">
        <v>11</v>
      </c>
      <c r="H11" t="s">
        <v>11</v>
      </c>
      <c r="I11">
        <v>0</v>
      </c>
    </row>
    <row r="12" spans="1:9" x14ac:dyDescent="0.25">
      <c r="A12" s="4" t="s">
        <v>41</v>
      </c>
      <c r="B12" t="s">
        <v>31</v>
      </c>
      <c r="C12">
        <v>0.5968</v>
      </c>
      <c r="D12">
        <v>3.3E-3</v>
      </c>
      <c r="E12">
        <v>-1.13295568143688E-6</v>
      </c>
      <c r="F12">
        <v>-0.59589999999999999</v>
      </c>
      <c r="G12" t="s">
        <v>11</v>
      </c>
      <c r="H12" t="s">
        <v>11</v>
      </c>
      <c r="I12">
        <v>0</v>
      </c>
    </row>
    <row r="13" spans="1:9" x14ac:dyDescent="0.25">
      <c r="A13" s="4" t="s">
        <v>42</v>
      </c>
      <c r="B13" t="s">
        <v>31</v>
      </c>
      <c r="C13">
        <v>0.85829999999999995</v>
      </c>
      <c r="D13">
        <v>0.48010000000000003</v>
      </c>
      <c r="E13">
        <v>1.8450516494501981E-4</v>
      </c>
      <c r="F13">
        <v>-0.85870000000000002</v>
      </c>
      <c r="G13" t="s">
        <v>11</v>
      </c>
      <c r="H13" t="s">
        <v>11</v>
      </c>
      <c r="I13">
        <v>0</v>
      </c>
    </row>
    <row r="14" spans="1:9" x14ac:dyDescent="0.25">
      <c r="A14" s="4" t="s">
        <v>43</v>
      </c>
      <c r="B14" t="s">
        <v>31</v>
      </c>
      <c r="C14">
        <v>0.76649999999999996</v>
      </c>
      <c r="D14">
        <v>0.4829</v>
      </c>
      <c r="E14">
        <v>4.6517827390870209E-5</v>
      </c>
      <c r="F14">
        <v>-0.76659999999999995</v>
      </c>
      <c r="G14" t="s">
        <v>11</v>
      </c>
      <c r="H14" t="s">
        <v>11</v>
      </c>
      <c r="I14">
        <v>0</v>
      </c>
    </row>
    <row r="15" spans="1:9" x14ac:dyDescent="0.25">
      <c r="A15" s="4" t="s">
        <v>44</v>
      </c>
      <c r="B15" t="s">
        <v>31</v>
      </c>
      <c r="C15">
        <v>0.75600000000000001</v>
      </c>
      <c r="D15">
        <v>2.1399999999999999E-2</v>
      </c>
      <c r="E15">
        <v>7.0359880039987249E-5</v>
      </c>
      <c r="F15">
        <v>-0.75580000000000003</v>
      </c>
      <c r="G15" t="s">
        <v>11</v>
      </c>
      <c r="H15" t="s">
        <v>11</v>
      </c>
      <c r="I15">
        <v>0</v>
      </c>
    </row>
    <row r="16" spans="1:9" x14ac:dyDescent="0.25">
      <c r="A16" s="4" t="s">
        <v>45</v>
      </c>
      <c r="B16" t="s">
        <v>31</v>
      </c>
      <c r="C16">
        <v>0.83979999999999999</v>
      </c>
      <c r="D16">
        <v>0.28310000000000002</v>
      </c>
      <c r="E16">
        <v>5.0433188937021237E-5</v>
      </c>
      <c r="F16">
        <v>-0.83979999999999999</v>
      </c>
      <c r="G16" t="s">
        <v>11</v>
      </c>
      <c r="H16" t="s">
        <v>11</v>
      </c>
      <c r="I16">
        <v>0</v>
      </c>
    </row>
    <row r="17" spans="1:9" x14ac:dyDescent="0.25">
      <c r="A17" s="4" t="s">
        <v>46</v>
      </c>
      <c r="B17" t="s">
        <v>31</v>
      </c>
      <c r="C17">
        <v>0.9839</v>
      </c>
      <c r="D17">
        <v>0.48209999999999997</v>
      </c>
      <c r="E17">
        <v>8.09396867710759E-5</v>
      </c>
      <c r="F17">
        <v>-0.98399999999999999</v>
      </c>
      <c r="G17" t="s">
        <v>11</v>
      </c>
      <c r="H17" t="s">
        <v>11</v>
      </c>
      <c r="I17">
        <v>0</v>
      </c>
    </row>
    <row r="18" spans="1:9" x14ac:dyDescent="0.25">
      <c r="A18" s="4" t="s">
        <v>47</v>
      </c>
      <c r="B18" t="s">
        <v>31</v>
      </c>
      <c r="C18">
        <v>0.36299999999999999</v>
      </c>
      <c r="D18">
        <v>3.0000000000000001E-3</v>
      </c>
      <c r="E18">
        <v>-2.2609130289902761E-5</v>
      </c>
      <c r="F18">
        <v>-0.3614</v>
      </c>
      <c r="G18" t="s">
        <v>11</v>
      </c>
      <c r="H18" t="s">
        <v>11</v>
      </c>
      <c r="I18">
        <v>0</v>
      </c>
    </row>
    <row r="19" spans="1:9" x14ac:dyDescent="0.25">
      <c r="A19" s="4" t="s">
        <v>48</v>
      </c>
      <c r="B19" t="s">
        <v>31</v>
      </c>
      <c r="C19">
        <v>0.70930000000000004</v>
      </c>
      <c r="D19">
        <v>2.1100000000000001E-2</v>
      </c>
      <c r="E19">
        <v>4.6751082972341922E-5</v>
      </c>
      <c r="F19">
        <v>-0.70860000000000001</v>
      </c>
      <c r="G19" t="s">
        <v>11</v>
      </c>
      <c r="H19" t="s">
        <v>11</v>
      </c>
      <c r="I19">
        <v>0</v>
      </c>
    </row>
    <row r="20" spans="1:9" x14ac:dyDescent="0.25">
      <c r="A20" s="4" t="s">
        <v>49</v>
      </c>
      <c r="B20" t="s">
        <v>31</v>
      </c>
      <c r="C20">
        <v>0.87970000000000004</v>
      </c>
      <c r="D20">
        <v>1.9800000000000002E-2</v>
      </c>
      <c r="E20">
        <v>9.211929356880821E-5</v>
      </c>
      <c r="F20">
        <v>-0.87870000000000004</v>
      </c>
      <c r="G20" t="s">
        <v>11</v>
      </c>
      <c r="H20" t="s">
        <v>11</v>
      </c>
      <c r="I20">
        <v>0</v>
      </c>
    </row>
    <row r="23" spans="1:9" x14ac:dyDescent="0.25">
      <c r="B23" t="s">
        <v>58</v>
      </c>
      <c r="C23" t="s">
        <v>59</v>
      </c>
      <c r="D23" t="s">
        <v>60</v>
      </c>
      <c r="E23" t="s">
        <v>61</v>
      </c>
      <c r="F23" t="s">
        <v>62</v>
      </c>
      <c r="G23" t="s">
        <v>67</v>
      </c>
    </row>
    <row r="24" spans="1:9" x14ac:dyDescent="0.25">
      <c r="A24" s="2" t="s">
        <v>50</v>
      </c>
      <c r="B24" s="2">
        <f>MAX(C2:C20)</f>
        <v>0.9839</v>
      </c>
      <c r="C24" s="2" t="str">
        <f>INDEX(Tabla5[Maquina],MATCH(B24,Tabla5[I_max '[pu']],0))</f>
        <v>GFM Nueva Renca</v>
      </c>
      <c r="D24" s="2">
        <f>INDEX(Tabla5[I_max en t '[s']],MATCH(B24,Tabla5[I_max '[pu']],0))</f>
        <v>0.48209999999999997</v>
      </c>
      <c r="E24" s="2">
        <f>COUNTIF(G2:G20,"Si")</f>
        <v>0</v>
      </c>
      <c r="F24" s="2">
        <f>COUNTIF(H2:H20,"Si")</f>
        <v>0</v>
      </c>
      <c r="G24" s="8">
        <f>AVERAGE(Tabla5[I_max '[pu']])</f>
        <v>0.69742631578947378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07EC-8D1C-4F20-94A1-2F1A34A025D2}">
  <dimension ref="A1:H6"/>
  <sheetViews>
    <sheetView tabSelected="1" workbookViewId="0">
      <selection activeCell="G35" sqref="G35"/>
    </sheetView>
  </sheetViews>
  <sheetFormatPr baseColWidth="10" defaultRowHeight="15" x14ac:dyDescent="0.25"/>
  <cols>
    <col min="1" max="1" width="15.7109375" bestFit="1" customWidth="1"/>
    <col min="2" max="2" width="24.42578125" bestFit="1" customWidth="1"/>
    <col min="3" max="3" width="19.42578125" bestFit="1" customWidth="1"/>
    <col min="4" max="4" width="18" bestFit="1" customWidth="1"/>
    <col min="5" max="6" width="21" customWidth="1"/>
    <col min="7" max="7" width="22.140625" bestFit="1" customWidth="1"/>
    <col min="8" max="8" width="20.5703125" bestFit="1" customWidth="1"/>
  </cols>
  <sheetData>
    <row r="1" spans="1:8" x14ac:dyDescent="0.25">
      <c r="A1" t="s">
        <v>51</v>
      </c>
      <c r="B1" t="s">
        <v>52</v>
      </c>
      <c r="C1" t="s">
        <v>63</v>
      </c>
      <c r="D1" t="s">
        <v>59</v>
      </c>
      <c r="E1" t="s">
        <v>64</v>
      </c>
      <c r="F1" t="s">
        <v>67</v>
      </c>
      <c r="G1" t="s">
        <v>65</v>
      </c>
      <c r="H1" t="s">
        <v>66</v>
      </c>
    </row>
    <row r="2" spans="1:8" x14ac:dyDescent="0.25">
      <c r="A2" t="s">
        <v>53</v>
      </c>
      <c r="B2" s="1">
        <v>0</v>
      </c>
      <c r="C2" s="1">
        <v>0.9667</v>
      </c>
      <c r="D2" s="1" t="s">
        <v>26</v>
      </c>
      <c r="E2" s="7">
        <v>0.10150000000000001</v>
      </c>
      <c r="F2" s="7">
        <v>0.68935789473684195</v>
      </c>
      <c r="G2" s="1">
        <v>0</v>
      </c>
      <c r="H2">
        <v>0</v>
      </c>
    </row>
    <row r="3" spans="1:8" x14ac:dyDescent="0.25">
      <c r="A3" t="s">
        <v>54</v>
      </c>
      <c r="B3" s="1">
        <v>7</v>
      </c>
      <c r="C3" s="1">
        <v>0.9667</v>
      </c>
      <c r="D3" s="1" t="s">
        <v>26</v>
      </c>
      <c r="E3" s="7">
        <v>0.10150000000000001</v>
      </c>
      <c r="F3" s="7">
        <v>0.69681578947368406</v>
      </c>
      <c r="G3" s="1">
        <v>0</v>
      </c>
      <c r="H3">
        <v>0</v>
      </c>
    </row>
    <row r="4" spans="1:8" x14ac:dyDescent="0.25">
      <c r="A4" t="s">
        <v>55</v>
      </c>
      <c r="B4" s="1">
        <v>14</v>
      </c>
      <c r="C4" s="1">
        <v>0.96630000000000005</v>
      </c>
      <c r="D4" s="1" t="s">
        <v>26</v>
      </c>
      <c r="E4" s="7">
        <v>8.1500000000000003E-2</v>
      </c>
      <c r="F4" s="7">
        <v>0.69721052631578961</v>
      </c>
      <c r="G4" s="1">
        <v>0</v>
      </c>
      <c r="H4">
        <v>0</v>
      </c>
    </row>
    <row r="5" spans="1:8" x14ac:dyDescent="0.25">
      <c r="A5" t="s">
        <v>56</v>
      </c>
      <c r="B5" s="1">
        <v>21</v>
      </c>
      <c r="C5" s="1">
        <v>0.98040000000000005</v>
      </c>
      <c r="D5" s="1" t="s">
        <v>26</v>
      </c>
      <c r="E5" s="7">
        <v>6.2100000000000002E-2</v>
      </c>
      <c r="F5" s="7">
        <v>0.70347894736842098</v>
      </c>
      <c r="G5" s="1">
        <v>0</v>
      </c>
      <c r="H5">
        <v>0</v>
      </c>
    </row>
    <row r="6" spans="1:8" x14ac:dyDescent="0.25">
      <c r="A6" t="s">
        <v>57</v>
      </c>
      <c r="B6" s="1">
        <v>28</v>
      </c>
      <c r="C6" s="1">
        <v>0.9839</v>
      </c>
      <c r="D6" s="1" t="s">
        <v>46</v>
      </c>
      <c r="E6" s="7">
        <v>0.48209999999999997</v>
      </c>
      <c r="F6" s="7">
        <v>0.69742631578947378</v>
      </c>
      <c r="G6" s="1">
        <v>0</v>
      </c>
      <c r="H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Caso base</vt:lpstr>
      <vt:lpstr>Reemplazo 25%</vt:lpstr>
      <vt:lpstr>Reemplazo 50%</vt:lpstr>
      <vt:lpstr>Reemplazo 75%</vt:lpstr>
      <vt:lpstr>Reemplazo 100%</vt:lpstr>
      <vt:lpstr>Resumen por caso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Alberto Camousseight Palacios (n.camousseight)</dc:creator>
  <cp:lastModifiedBy>Nicolás Alberto Camousseight Palacios (n.camousseight)</cp:lastModifiedBy>
  <dcterms:created xsi:type="dcterms:W3CDTF">2026-05-20T03:16:26Z</dcterms:created>
  <dcterms:modified xsi:type="dcterms:W3CDTF">2026-06-04T03:26:12Z</dcterms:modified>
</cp:coreProperties>
</file>