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8F63DEE3-85E0-4988-B7E7-DE6EC397C19C}" xr6:coauthVersionLast="47" xr6:coauthVersionMax="47" xr10:uidLastSave="{00000000-0000-0000-0000-000000000000}"/>
  <bookViews>
    <workbookView xWindow="-108" yWindow="-108" windowWidth="23256" windowHeight="12456" tabRatio="644" activeTab="5" xr2:uid="{2970CEC0-EE5A-4CD8-91C3-492854105335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Reusmen por escenari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6" l="1" a="1"/>
  <c r="I7" i="6" a="1"/>
  <c r="I6" i="6" a="1"/>
  <c r="I5" i="6" a="1"/>
  <c r="I4" i="6" a="1"/>
  <c r="L2" i="1"/>
  <c r="L2" i="2"/>
  <c r="L2" i="3"/>
  <c r="L2" i="4"/>
  <c r="L2" i="5"/>
  <c r="I17" i="3" a="1"/>
  <c r="B17" i="3"/>
  <c r="D17" i="3"/>
  <c r="H17" i="4"/>
  <c r="C17" i="4"/>
  <c r="I17" i="4" a="1"/>
  <c r="G17" i="4"/>
  <c r="F17" i="4"/>
  <c r="E17" i="4"/>
  <c r="D17" i="4"/>
  <c r="B17" i="4"/>
  <c r="H17" i="3"/>
  <c r="G17" i="3"/>
  <c r="F17" i="3"/>
  <c r="E17" i="3"/>
  <c r="C17" i="3"/>
  <c r="I17" i="2" a="1"/>
  <c r="H17" i="2"/>
  <c r="G17" i="2"/>
  <c r="F17" i="2"/>
  <c r="E17" i="2"/>
  <c r="D17" i="2"/>
  <c r="C17" i="2"/>
  <c r="B17" i="2"/>
  <c r="I17" i="1" a="1"/>
  <c r="H17" i="1"/>
  <c r="G17" i="1"/>
  <c r="F17" i="1"/>
  <c r="E17" i="1"/>
  <c r="D17" i="1"/>
  <c r="C17" i="1"/>
  <c r="B17" i="1"/>
  <c r="I17" i="5" a="1"/>
  <c r="H17" i="5"/>
  <c r="G17" i="5"/>
  <c r="E17" i="5"/>
  <c r="D17" i="5"/>
  <c r="C17" i="5"/>
  <c r="B17" i="5"/>
  <c r="F17" i="5"/>
  <c r="M2" i="5" l="1"/>
  <c r="M2" i="4"/>
  <c r="M2" i="3"/>
  <c r="M2" i="2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<sst xmlns="http://schemas.openxmlformats.org/spreadsheetml/2006/main" count="148" uniqueCount="34">
  <si>
    <t>Barra</t>
  </si>
  <si>
    <t>V_min [pu]</t>
  </si>
  <si>
    <t>V_max [pu]</t>
  </si>
  <si>
    <t>V_mean [pu]</t>
  </si>
  <si>
    <t>f_min [Hz]</t>
  </si>
  <si>
    <t>f_max [Hz]</t>
  </si>
  <si>
    <t>f_nadir [Hz]</t>
  </si>
  <si>
    <t>f_zenith [Hz]</t>
  </si>
  <si>
    <t>ROCOF_max [Hz/s]</t>
  </si>
  <si>
    <t>Alto Jahuel 220 kV</t>
  </si>
  <si>
    <t>Charrua 154 kV</t>
  </si>
  <si>
    <t>Charrua 220 kV</t>
  </si>
  <si>
    <t>Concepcion 220 kV</t>
  </si>
  <si>
    <t>Hualpen 154 kV</t>
  </si>
  <si>
    <t>Hualpen 220 kV</t>
  </si>
  <si>
    <t>Las Vegas 110 kV</t>
  </si>
  <si>
    <t>Toro 13.8kV</t>
  </si>
  <si>
    <t>Maitencillo 220 kV</t>
  </si>
  <si>
    <t>Nehuenco 13.8 kV</t>
  </si>
  <si>
    <t>Paposo 220 kV</t>
  </si>
  <si>
    <t>Renca 110 kV</t>
  </si>
  <si>
    <t>San Isidro I 13.8 kV</t>
  </si>
  <si>
    <t>San Pedro 110 kV</t>
  </si>
  <si>
    <t>Promedio del sistema</t>
  </si>
  <si>
    <t>Total de barras</t>
  </si>
  <si>
    <t>Barras dentro de banda</t>
  </si>
  <si>
    <t>Porcentaje dentro</t>
  </si>
  <si>
    <t>Escenario</t>
  </si>
  <si>
    <t>Caso base</t>
  </si>
  <si>
    <t>Reemplazo 25%</t>
  </si>
  <si>
    <t>Reemplazo 50%</t>
  </si>
  <si>
    <t>Reemplazo 75%</t>
  </si>
  <si>
    <t>Reemplazo 100%</t>
  </si>
  <si>
    <t>Barras dentro de banda frecuencia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</si>
</sst>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9" fontId="0" fillId="0" borderId="0" xfId="1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applyFill="1"/>
    <xf numFmtId="9" fontId="0" fillId="0" borderId="0" xfId="0" applyNumberFormat="1" applyFill="1"/>
  </cellXfs>
  <cellStyles count="2">
    <cellStyle name="Normal" xfId="0" builtinId="0"/>
    <cellStyle name="Porcentaje" xfId="1" builtinId="5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AFD71-1742-4A24-A6A0-104796784F5E}" name="Tabla7" displayName="Tabla7" ref="K1:M2" totalsRowShown="0" headerRowCellStyle="Normal" dataCellStyle="Normal">
  <autoFilter ref="K1:M2" xr:uid="{0A1AFD71-1742-4A24-A6A0-104796784F5E}"/>
  <tableColumns count="3">
    <tableColumn id="1" xr3:uid="{296547B9-432B-42BE-9F06-DD8CBF7002DF}" name="Total de barras" dataCellStyle="Normal"/>
    <tableColumn id="2" xr3:uid="{9A45DD82-295A-4CA8-9B48-4A2A66CAC965}" name="Barras dentro de banda" dataCellStyle="Normal">
      <calculatedColumnFormula>COUNTIFS(G2:G15,"&gt;=49,5",H2:H15,"&lt;=50,5")</calculatedColumnFormula>
    </tableColumn>
    <tableColumn id="3" xr3:uid="{5C45FEE8-0695-42BA-8DD0-033123BE9546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CC02CB-CA3E-44ED-81E6-2629F07B12F6}" name="Tabla1" displayName="Tabla1" ref="A1:I15" totalsRowShown="0" headerRowDxfId="16" headerRowBorderDxfId="18" tableBorderDxfId="19">
  <autoFilter ref="A1:I15" xr:uid="{38CC02CB-CA3E-44ED-81E6-2629F07B12F6}"/>
  <tableColumns count="9">
    <tableColumn id="1" xr3:uid="{5C543C93-0503-4331-AB39-0619A355FC53}" name="Barra" dataDxfId="17"/>
    <tableColumn id="2" xr3:uid="{8B8462A4-CCBD-4064-B771-A4379CCB1BA1}" name="V_min [pu]"/>
    <tableColumn id="3" xr3:uid="{D14158D3-ECEC-4298-BBB8-DD7A343EAEA8}" name="V_max [pu]"/>
    <tableColumn id="4" xr3:uid="{119CF17F-541E-4854-94FA-80CF7875BFAA}" name="V_mean [pu]"/>
    <tableColumn id="5" xr3:uid="{5AE0ED53-4CA2-47BC-A5CA-6B48284E99B8}" name="f_min [Hz]"/>
    <tableColumn id="6" xr3:uid="{E99D5C69-4A54-43AB-9BC8-8F96ADC9E584}" name="f_max [Hz]"/>
    <tableColumn id="7" xr3:uid="{BA73F00D-0898-4D94-8D38-40D8F1B35DED}" name="f_nadir [Hz]"/>
    <tableColumn id="8" xr3:uid="{B3AC141D-B4D4-4E1B-8D5D-44F4459901CB}" name="f_zenith [Hz]"/>
    <tableColumn id="9" xr3:uid="{C52CF82F-6E5A-492F-8511-B894A34DEE39}" name="ROCOF_max [Hz/s]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4BF21-46C8-4CA5-9887-4472E3BD8422}" name="Tabla73" displayName="Tabla73" ref="K1:M2" totalsRowShown="0" headerRowCellStyle="Normal" dataCellStyle="Normal">
  <autoFilter ref="K1:M2" xr:uid="{CA84BF21-46C8-4CA5-9887-4472E3BD8422}"/>
  <tableColumns count="3">
    <tableColumn id="1" xr3:uid="{D5707D3A-80F4-4330-81E4-A7546405086A}" name="Total de barras" dataCellStyle="Normal"/>
    <tableColumn id="2" xr3:uid="{DFC640FA-1A4D-44BC-9B3D-231C5C47C983}" name="Barras dentro de banda" dataCellStyle="Normal">
      <calculatedColumnFormula>COUNTIFS(G2:G15,"&gt;=49,5",H2:H15,"&lt;=50,5")</calculatedColumnFormula>
    </tableColumn>
    <tableColumn id="3" xr3:uid="{7C0E8B69-3BBF-46BC-9B35-9801F2BB6310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C4C5BC-9234-4B45-B451-14459CD85416}" name="Tabla2" displayName="Tabla2" ref="A1:I15" totalsRowShown="0" headerRowDxfId="12" headerRowBorderDxfId="14" tableBorderDxfId="15">
  <autoFilter ref="A1:I15" xr:uid="{D9C4C5BC-9234-4B45-B451-14459CD85416}"/>
  <tableColumns count="9">
    <tableColumn id="1" xr3:uid="{149B14DA-94B6-494B-979D-7F6E5E225C73}" name="Barra" dataDxfId="13"/>
    <tableColumn id="2" xr3:uid="{F61AA7AC-3066-40CA-AE6A-B825BDB430A0}" name="V_min [pu]"/>
    <tableColumn id="3" xr3:uid="{AAEC1724-E012-46FA-9FA4-B94E831620CD}" name="V_max [pu]"/>
    <tableColumn id="4" xr3:uid="{64F59852-1332-4C3A-B07D-DFF5A1DEF0C0}" name="V_mean [pu]"/>
    <tableColumn id="5" xr3:uid="{1057AE53-8DC0-4A1F-8A05-CCB7A9C7D21F}" name="f_min [Hz]"/>
    <tableColumn id="6" xr3:uid="{618574AE-C8E1-4EC1-962D-C9B04C90C7C2}" name="f_max [Hz]"/>
    <tableColumn id="7" xr3:uid="{6665BE51-69E3-4C7E-A7D1-4918EAE7F97D}" name="f_nadir [Hz]"/>
    <tableColumn id="8" xr3:uid="{CE8CA49E-5D49-4288-8E0C-60C468C4801E}" name="f_zenith [Hz]"/>
    <tableColumn id="9" xr3:uid="{894BAD52-C9CA-42BD-879F-6D931CF09886}" name="ROCOF_max [Hz/s]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110A6-D8AA-42C7-BEAB-43A727A96D53}" name="Tabla74" displayName="Tabla74" ref="K1:M2" totalsRowShown="0" headerRowCellStyle="Normal" dataCellStyle="Normal">
  <autoFilter ref="K1:M2" xr:uid="{8AF110A6-D8AA-42C7-BEAB-43A727A96D53}"/>
  <tableColumns count="3">
    <tableColumn id="1" xr3:uid="{104C1933-1A67-4B12-AD33-37E35140728A}" name="Total de barras" dataCellStyle="Normal"/>
    <tableColumn id="2" xr3:uid="{897EDD4D-CFEE-41F9-B400-9B07A0106790}" name="Barras dentro de banda" dataCellStyle="Normal">
      <calculatedColumnFormula>COUNTIFS(G2:G15,"&gt;=49,5",H2:H15,"&lt;=50,5")</calculatedColumnFormula>
    </tableColumn>
    <tableColumn id="3" xr3:uid="{FCB6D029-5E10-4163-8547-CA8DDA01907B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32BCC4-6AE5-4FBF-BB17-A82ECC90DE0D}" name="Tabla8" displayName="Tabla8" ref="A1:I15" totalsRowShown="0" headerRowDxfId="8" headerRowBorderDxfId="10" tableBorderDxfId="11">
  <autoFilter ref="A1:I15" xr:uid="{9232BCC4-6AE5-4FBF-BB17-A82ECC90DE0D}"/>
  <tableColumns count="9">
    <tableColumn id="1" xr3:uid="{E8748918-9301-4D46-89D6-05AEA82D80EB}" name="Barra" dataDxfId="9"/>
    <tableColumn id="2" xr3:uid="{537FBFD3-3066-4256-BB79-5FB0112A6427}" name="V_min [pu]"/>
    <tableColumn id="3" xr3:uid="{17F8A5D9-18DD-4F2D-A08D-710E06E6BA9A}" name="V_max [pu]"/>
    <tableColumn id="4" xr3:uid="{6731BDCE-0264-4423-8E74-3F592936CA1D}" name="V_mean [pu]"/>
    <tableColumn id="5" xr3:uid="{73C2ADB3-D460-43DE-B7CD-388CA27656EB}" name="f_min [Hz]"/>
    <tableColumn id="6" xr3:uid="{22F42650-8E46-4F27-A5C0-D4ACA8661287}" name="f_max [Hz]"/>
    <tableColumn id="7" xr3:uid="{2388AE83-F52D-4C89-BDBB-7F9AFBAE0728}" name="f_nadir [Hz]"/>
    <tableColumn id="8" xr3:uid="{66343199-B10F-41F1-8C9D-7F5B027B15A2}" name="f_zenith [Hz]"/>
    <tableColumn id="9" xr3:uid="{20A6FB1C-E563-49E0-866B-B795892648D9}" name="ROCOF_max [Hz/s]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B759AB-153D-4938-B04E-84577B6B1877}" name="Tabla75" displayName="Tabla75" ref="K1:M2" totalsRowShown="0" headerRowCellStyle="Normal" dataCellStyle="Normal">
  <autoFilter ref="K1:M2" xr:uid="{29B759AB-153D-4938-B04E-84577B6B1877}"/>
  <tableColumns count="3">
    <tableColumn id="1" xr3:uid="{F7F9EDC3-D8BA-49EC-A673-60F88B8A8E1E}" name="Total de barras" dataCellStyle="Normal"/>
    <tableColumn id="2" xr3:uid="{1F046B72-4740-43B6-8B9A-6CD8E1A91386}" name="Barras dentro de banda" dataCellStyle="Normal">
      <calculatedColumnFormula>COUNTIFS(G2:G15,"&gt;=49,5",H2:H15,"&lt;=50,5")</calculatedColumnFormula>
    </tableColumn>
    <tableColumn id="3" xr3:uid="{DA2DDFF6-CA60-4394-974E-E7BE4AF38DD7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07BA83-293B-4E0B-8837-83B73203AC1B}" name="Tabla4" displayName="Tabla4" ref="A1:I15" totalsRowShown="0" headerRowDxfId="4" headerRowBorderDxfId="6" tableBorderDxfId="7">
  <autoFilter ref="A1:I15" xr:uid="{AD07BA83-293B-4E0B-8837-83B73203AC1B}"/>
  <tableColumns count="9">
    <tableColumn id="1" xr3:uid="{6C2A2D4E-ACFA-4BA0-8890-E7E724EF7550}" name="Barra" dataDxfId="5"/>
    <tableColumn id="2" xr3:uid="{F0DF4B7C-AD06-4301-B1CA-7F558CFD91C2}" name="V_min [pu]"/>
    <tableColumn id="3" xr3:uid="{1A3960AE-4866-4DD4-A9C1-94CAE4F2793C}" name="V_max [pu]"/>
    <tableColumn id="4" xr3:uid="{B7863E0D-A6A5-4DCC-A70E-3717448195C7}" name="V_mean [pu]"/>
    <tableColumn id="5" xr3:uid="{58C814BB-E52D-471E-8374-774D0F45B07C}" name="f_min [Hz]"/>
    <tableColumn id="6" xr3:uid="{80249B15-4DD5-4253-8AB3-98E444778943}" name="f_max [Hz]"/>
    <tableColumn id="7" xr3:uid="{63784AB3-CF28-47E8-9A2B-BE4ADFDE6EA4}" name="f_nadir [Hz]"/>
    <tableColumn id="8" xr3:uid="{F2504463-BE6A-4849-8C92-84E1F99E004A}" name="f_zenith [Hz]"/>
    <tableColumn id="9" xr3:uid="{C5E81F17-B747-4AB1-B662-A529589ABB7F}" name="ROCOF_max [Hz/s]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F76F3E-1FC3-4850-9194-A045D828C6CD}" name="Tabla76" displayName="Tabla76" ref="K1:M2" totalsRowShown="0" headerRowCellStyle="Normal" dataCellStyle="Normal">
  <autoFilter ref="K1:M2" xr:uid="{99F76F3E-1FC3-4850-9194-A045D828C6CD}"/>
  <tableColumns count="3">
    <tableColumn id="1" xr3:uid="{C6B1313C-B380-40EF-93F1-3092A3C33A89}" name="Total de barras" dataCellStyle="Normal"/>
    <tableColumn id="2" xr3:uid="{221C17E7-D1AD-48EE-AE38-D06042E32A8F}" name="Barras dentro de banda" dataCellStyle="Normal">
      <calculatedColumnFormula>COUNTIFS(G2:G15,"&gt;=49,5",H2:H15,"&lt;=50,5")</calculatedColumnFormula>
    </tableColumn>
    <tableColumn id="3" xr3:uid="{9877D82D-FC8C-4292-9FBE-00A5F70A1764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6E138C-E59C-428C-8EE4-30880215A2F1}" name="Tabla10" displayName="Tabla10" ref="A1:I15" totalsRowShown="0" headerRowDxfId="0" headerRowBorderDxfId="2" tableBorderDxfId="3">
  <autoFilter ref="A1:I15" xr:uid="{A96E138C-E59C-428C-8EE4-30880215A2F1}"/>
  <tableColumns count="9">
    <tableColumn id="1" xr3:uid="{30ED73F5-F5CD-479B-B9EE-20BA82F80FD1}" name="Barra" dataDxfId="1"/>
    <tableColumn id="2" xr3:uid="{0AABB6C7-129D-4C09-9EBA-98F5306D2A77}" name="V_min [pu]"/>
    <tableColumn id="3" xr3:uid="{AA84C4D7-AF2B-4448-A6BE-F0839E710AFB}" name="V_max [pu]"/>
    <tableColumn id="4" xr3:uid="{1142CDA9-A389-45A4-AC28-035157EFBF82}" name="V_mean [pu]"/>
    <tableColumn id="5" xr3:uid="{00B69CA6-B539-4570-AD71-10DBF9FF24F4}" name="f_min [Hz]"/>
    <tableColumn id="6" xr3:uid="{D9E23E6A-CC5F-4B41-B3FF-2490A28443FE}" name="f_max [Hz]"/>
    <tableColumn id="7" xr3:uid="{FE128BE5-D728-4F42-9E83-A8BA361683D0}" name="f_nadir [Hz]"/>
    <tableColumn id="8" xr3:uid="{A1D6241F-4E0C-402D-9953-44C85549EC26}" name="f_zenith [Hz]"/>
    <tableColumn id="9" xr3:uid="{389521B7-2B76-4DAD-ADE5-D1F22E150CF8}" name="ROCOF_max [Hz/s]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353FA6-543E-4682-BE72-2C1CD1981160}" name="Tabla11" displayName="Tabla11" ref="B3:I8" totalsRowShown="0" headerRowCellStyle="Normal" dataCellStyle="Normal">
  <autoFilter ref="B3:I8" xr:uid="{7A353FA6-543E-4682-BE72-2C1CD1981160}"/>
  <tableColumns count="8">
    <tableColumn id="1" xr3:uid="{20B6E9B6-3F60-4732-9C59-9B856D0DB9B6}" name="Escenario" dataCellStyle="Normal"/>
    <tableColumn id="2" xr3:uid="{1BA09E80-8848-47A7-8C67-7E4130D4DD05}" name="V_min [pu]" dataCellStyle="Normal"/>
    <tableColumn id="3" xr3:uid="{17C233C1-AD45-47C5-A8D4-439D87AA0843}" name="V_max [pu]" dataCellStyle="Normal"/>
    <tableColumn id="4" xr3:uid="{DF5B5CC9-BE32-4E53-A759-E84852E1732B}" name="V_mean [pu]" dataCellStyle="Normal"/>
    <tableColumn id="5" xr3:uid="{2AE82453-E14C-483B-B7A7-0BDD91CC50CA}" name="f_nadir [Hz]" dataCellStyle="Normal"/>
    <tableColumn id="6" xr3:uid="{1B54A307-BC06-42CA-B548-43A5B111EE6A}" name="f_zenith [Hz]" dataCellStyle="Normal"/>
    <tableColumn id="7" xr3:uid="{756019D9-A51F-42DE-A9EA-0CAEFABCBC5F}" name="ROCOF_max [Hz/s]" dataCellStyle="Normal"/>
    <tableColumn id="8" xr3:uid="{19D3684E-338C-4187-A0E3-1F009BC2D77E}" name="Barras dentro de banda frecuencia [%]" dataCellStyle="Normal"/>
  </tableColumns>
  <tableStyleInfo name="TableStyleMedium14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2B68-6D78-4ACD-84E8-9043DC11E4A0}">
  <dimension ref="A1:M17"/>
  <sheetViews>
    <sheetView workbookViewId="0">
      <selection activeCell="K2" sqref="K2"/>
    </sheetView>
  </sheetViews>
  <sheetFormatPr baseColWidth="10" defaultRowHeight="14.4" x14ac:dyDescent="0.3"/>
  <cols>
    <col min="1" max="1" width="17.109375" bestFit="1" customWidth="1"/>
    <col min="2" max="2" width="14.88671875" bestFit="1" customWidth="1"/>
    <col min="3" max="3" width="15.21875" bestFit="1" customWidth="1"/>
    <col min="4" max="4" width="16.44140625" bestFit="1" customWidth="1"/>
    <col min="5" max="5" width="14.109375" bestFit="1" customWidth="1"/>
    <col min="6" max="6" width="14.44140625" bestFit="1" customWidth="1"/>
    <col min="7" max="7" width="15.21875" bestFit="1" customWidth="1"/>
    <col min="8" max="8" width="16" bestFit="1" customWidth="1"/>
    <col min="9" max="9" width="21.33203125" bestFit="1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6" t="s">
        <v>24</v>
      </c>
      <c r="L1" s="6" t="s">
        <v>25</v>
      </c>
      <c r="M1" s="6" t="s">
        <v>26</v>
      </c>
    </row>
    <row r="2" spans="1:13" x14ac:dyDescent="0.3">
      <c r="A2" s="9" t="s">
        <v>9</v>
      </c>
      <c r="B2" s="2">
        <v>0.98109999999999997</v>
      </c>
      <c r="C2" s="2">
        <v>0.99380000000000002</v>
      </c>
      <c r="D2" s="2">
        <v>0.99148232445520579</v>
      </c>
      <c r="E2" s="2">
        <v>50</v>
      </c>
      <c r="F2" s="2">
        <v>50.089799999999997</v>
      </c>
      <c r="G2" s="2">
        <v>50</v>
      </c>
      <c r="H2" s="2">
        <v>50.089799999999997</v>
      </c>
      <c r="I2" s="2">
        <v>6.4566643387899414E-2</v>
      </c>
      <c r="K2" s="6">
        <v>15</v>
      </c>
      <c r="L2" s="6">
        <f>COUNTIFS(G2:G15,"&gt;=49,5",H2:H15,"&lt;=50,5")</f>
        <v>14</v>
      </c>
      <c r="M2" s="8">
        <f>L2/K2</f>
        <v>0.93333333333333335</v>
      </c>
    </row>
    <row r="3" spans="1:13" x14ac:dyDescent="0.3">
      <c r="A3" s="9" t="s">
        <v>10</v>
      </c>
      <c r="B3" s="2">
        <v>0.99619999999999997</v>
      </c>
      <c r="C3" s="2">
        <v>1.0383</v>
      </c>
      <c r="D3" s="2">
        <v>1.02997578692494</v>
      </c>
      <c r="E3" s="2">
        <v>50</v>
      </c>
      <c r="F3" s="2">
        <v>50.090699999999998</v>
      </c>
      <c r="G3" s="2">
        <v>50</v>
      </c>
      <c r="H3" s="2">
        <v>50.090699999999998</v>
      </c>
      <c r="I3" s="2">
        <v>8.6878225704696665E-2</v>
      </c>
    </row>
    <row r="4" spans="1:13" x14ac:dyDescent="0.3">
      <c r="A4" s="9" t="s">
        <v>11</v>
      </c>
      <c r="B4" s="2">
        <v>0.99690000000000001</v>
      </c>
      <c r="C4" s="2">
        <v>1.0432999999999999</v>
      </c>
      <c r="D4" s="2">
        <v>1.0348254237288139</v>
      </c>
      <c r="E4" s="2">
        <v>50</v>
      </c>
      <c r="F4" s="2">
        <v>50.090600000000002</v>
      </c>
      <c r="G4" s="2">
        <v>50</v>
      </c>
      <c r="H4" s="2">
        <v>50.090600000000002</v>
      </c>
      <c r="I4" s="2">
        <v>8.5881636773688985E-2</v>
      </c>
    </row>
    <row r="5" spans="1:13" x14ac:dyDescent="0.3">
      <c r="A5" s="9" t="s">
        <v>12</v>
      </c>
      <c r="B5" s="2">
        <v>0.92679999999999996</v>
      </c>
      <c r="C5" s="2">
        <v>0.96319999999999995</v>
      </c>
      <c r="D5" s="2">
        <v>0.95638740920096854</v>
      </c>
      <c r="E5" s="2">
        <v>50</v>
      </c>
      <c r="F5" s="2">
        <v>50.090699999999998</v>
      </c>
      <c r="G5" s="2">
        <v>50</v>
      </c>
      <c r="H5" s="2">
        <v>50.090699999999998</v>
      </c>
      <c r="I5" s="2">
        <v>8.7570442271720284E-2</v>
      </c>
    </row>
    <row r="6" spans="1:13" x14ac:dyDescent="0.3">
      <c r="A6" s="9" t="s">
        <v>13</v>
      </c>
      <c r="B6" s="2">
        <v>0.95540000000000003</v>
      </c>
      <c r="C6" s="2">
        <v>0.98619999999999997</v>
      </c>
      <c r="D6" s="2">
        <v>0.98005786924939475</v>
      </c>
      <c r="E6" s="2">
        <v>50</v>
      </c>
      <c r="F6" s="2">
        <v>50.090800000000002</v>
      </c>
      <c r="G6" s="2">
        <v>50</v>
      </c>
      <c r="H6" s="2">
        <v>50.090800000000002</v>
      </c>
      <c r="I6" s="2">
        <v>8.865981709520343E-2</v>
      </c>
    </row>
    <row r="7" spans="1:13" x14ac:dyDescent="0.3">
      <c r="A7" s="9" t="s">
        <v>14</v>
      </c>
      <c r="B7" s="2">
        <v>0.96379999999999999</v>
      </c>
      <c r="C7" s="2">
        <v>0.99639999999999995</v>
      </c>
      <c r="D7" s="2">
        <v>0.99003486682808706</v>
      </c>
      <c r="E7" s="2">
        <v>50</v>
      </c>
      <c r="F7" s="2">
        <v>50.090800000000002</v>
      </c>
      <c r="G7" s="2">
        <v>50</v>
      </c>
      <c r="H7" s="2">
        <v>50.090800000000002</v>
      </c>
      <c r="I7" s="2">
        <v>8.8622371740009545E-2</v>
      </c>
    </row>
    <row r="8" spans="1:13" x14ac:dyDescent="0.3">
      <c r="A8" s="9" t="s">
        <v>15</v>
      </c>
      <c r="B8" s="2">
        <v>0.99490000000000001</v>
      </c>
      <c r="C8" s="2">
        <v>1.0005999999999999</v>
      </c>
      <c r="D8" s="2">
        <v>0.99882058111380156</v>
      </c>
      <c r="E8" s="2">
        <v>50</v>
      </c>
      <c r="F8" s="2">
        <v>50.089199999999998</v>
      </c>
      <c r="G8" s="2">
        <v>50</v>
      </c>
      <c r="H8" s="2">
        <v>50.089199999999998</v>
      </c>
      <c r="I8" s="2">
        <v>7.2563800904991954E-2</v>
      </c>
    </row>
    <row r="9" spans="1:13" x14ac:dyDescent="0.3">
      <c r="A9" s="9" t="s">
        <v>16</v>
      </c>
      <c r="B9" s="2">
        <v>1.0299</v>
      </c>
      <c r="C9" s="2">
        <v>1.0548999999999999</v>
      </c>
      <c r="D9" s="2">
        <v>1.048283535108959</v>
      </c>
      <c r="E9" s="2">
        <v>50</v>
      </c>
      <c r="F9" s="2">
        <v>50.092500000000001</v>
      </c>
      <c r="G9" s="2">
        <v>50</v>
      </c>
      <c r="H9" s="2">
        <v>50.092500000000001</v>
      </c>
      <c r="I9" s="2">
        <v>8.0840815081194367E-2</v>
      </c>
    </row>
    <row r="10" spans="1:13" x14ac:dyDescent="0.3">
      <c r="A10" s="9" t="s">
        <v>17</v>
      </c>
      <c r="B10" s="2">
        <v>1.0471999999999999</v>
      </c>
      <c r="C10" s="2">
        <v>1.0531999999999999</v>
      </c>
      <c r="D10" s="2">
        <v>1.050112106537531</v>
      </c>
      <c r="E10" s="2">
        <v>50</v>
      </c>
      <c r="F10" s="2">
        <v>50.108600000000003</v>
      </c>
      <c r="G10" s="2">
        <v>50</v>
      </c>
      <c r="H10" s="2">
        <v>50.108600000000003</v>
      </c>
      <c r="I10" s="2">
        <v>9.496742081446663E-2</v>
      </c>
    </row>
    <row r="11" spans="1:13" x14ac:dyDescent="0.3">
      <c r="A11" s="9" t="s">
        <v>18</v>
      </c>
      <c r="B11" s="2">
        <v>1.0066999999999999</v>
      </c>
      <c r="C11" s="2">
        <v>1.0119</v>
      </c>
      <c r="D11" s="2">
        <v>1.0102600484261499</v>
      </c>
      <c r="E11" s="2">
        <v>50</v>
      </c>
      <c r="F11" s="2">
        <v>50.089399999999998</v>
      </c>
      <c r="G11" s="2">
        <v>50</v>
      </c>
      <c r="H11" s="2">
        <v>50.089399999999998</v>
      </c>
      <c r="I11" s="2">
        <v>7.5380090497727203E-2</v>
      </c>
    </row>
    <row r="12" spans="1:13" x14ac:dyDescent="0.3">
      <c r="A12" s="9" t="s">
        <v>19</v>
      </c>
      <c r="B12" s="2">
        <v>1.0397000000000001</v>
      </c>
      <c r="C12" s="2">
        <v>1.0423</v>
      </c>
      <c r="D12" s="2">
        <v>1.0406571428571429</v>
      </c>
      <c r="E12" s="2">
        <v>50</v>
      </c>
      <c r="F12" s="2">
        <v>50.122799999999998</v>
      </c>
      <c r="G12" s="2">
        <v>50</v>
      </c>
      <c r="H12" s="2">
        <v>50.122799999999998</v>
      </c>
      <c r="I12" s="2">
        <v>-0.1468401800885929</v>
      </c>
    </row>
    <row r="13" spans="1:13" x14ac:dyDescent="0.3">
      <c r="A13" s="9" t="s">
        <v>20</v>
      </c>
      <c r="B13" s="2">
        <v>1.0132000000000001</v>
      </c>
      <c r="C13" s="2">
        <v>1.0219</v>
      </c>
      <c r="D13" s="2">
        <v>1.019916707021792</v>
      </c>
      <c r="E13" s="2">
        <v>50</v>
      </c>
      <c r="F13" s="2">
        <v>50.089700000000001</v>
      </c>
      <c r="G13" s="2">
        <v>50</v>
      </c>
      <c r="H13" s="2">
        <v>50.089700000000001</v>
      </c>
      <c r="I13" s="2">
        <v>6.6366993052427353E-2</v>
      </c>
    </row>
    <row r="14" spans="1:13" x14ac:dyDescent="0.3">
      <c r="A14" s="9" t="s">
        <v>21</v>
      </c>
      <c r="B14" s="2">
        <v>1.0363</v>
      </c>
      <c r="C14" s="2">
        <v>1.0418000000000001</v>
      </c>
      <c r="D14" s="2">
        <v>1.0400837772397089</v>
      </c>
      <c r="E14" s="2">
        <v>50</v>
      </c>
      <c r="F14" s="2">
        <v>50.089300000000001</v>
      </c>
      <c r="G14" s="2">
        <v>50</v>
      </c>
      <c r="H14" s="2">
        <v>50.089300000000001</v>
      </c>
      <c r="I14" s="2">
        <v>7.3683257918562076E-2</v>
      </c>
    </row>
    <row r="15" spans="1:13" x14ac:dyDescent="0.3">
      <c r="A15" s="9" t="s">
        <v>22</v>
      </c>
      <c r="B15" s="2">
        <v>1.0064</v>
      </c>
      <c r="C15" s="2">
        <v>1.0118</v>
      </c>
      <c r="D15" s="2">
        <v>1.010170460048426</v>
      </c>
      <c r="E15" s="2">
        <v>50</v>
      </c>
      <c r="F15" s="2">
        <v>50.089199999999998</v>
      </c>
      <c r="G15" s="2">
        <v>50</v>
      </c>
      <c r="H15" s="2">
        <v>50.089199999999998</v>
      </c>
      <c r="I15" s="2">
        <v>7.3564705882371267E-2</v>
      </c>
    </row>
    <row r="17" spans="1:9" x14ac:dyDescent="0.3">
      <c r="A17" s="1" t="s">
        <v>23</v>
      </c>
      <c r="B17" s="7">
        <f>MIN(B2:B15)</f>
        <v>0.92679999999999996</v>
      </c>
      <c r="C17" s="7">
        <f>MAX(C2:C15)</f>
        <v>1.0548999999999999</v>
      </c>
      <c r="D17" s="7">
        <f>AVERAGE(D2:D15)</f>
        <v>1.0143620027672087</v>
      </c>
      <c r="E17" s="7">
        <f>MIN(E2:E15)</f>
        <v>50</v>
      </c>
      <c r="F17" s="7">
        <f>MAX(F2:F15)</f>
        <v>50.122799999999998</v>
      </c>
      <c r="G17" s="7">
        <f>MIN(G2:G15)</f>
        <v>50</v>
      </c>
      <c r="H17" s="7">
        <f>MAX(H2:H15)</f>
        <v>50.122799999999998</v>
      </c>
      <c r="I17" s="7" cm="1">
        <f t="array" ref="I17">_xlfn.XLOOKUP(MAX(ABS(I2:I15)),ABS(I2:I15),I2:I15)</f>
        <v>-0.1468401800885929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F2C4-474C-47FF-994B-9C8B346A5D7C}">
  <dimension ref="A1:M17"/>
  <sheetViews>
    <sheetView workbookViewId="0">
      <selection activeCell="K2" sqref="K2"/>
    </sheetView>
  </sheetViews>
  <sheetFormatPr baseColWidth="10" defaultRowHeight="14.4" x14ac:dyDescent="0.3"/>
  <cols>
    <col min="1" max="1" width="17.109375" bestFit="1" customWidth="1"/>
    <col min="2" max="2" width="14.88671875" bestFit="1" customWidth="1"/>
    <col min="3" max="3" width="15.21875" bestFit="1" customWidth="1"/>
    <col min="4" max="4" width="16.44140625" bestFit="1" customWidth="1"/>
    <col min="5" max="5" width="14.109375" bestFit="1" customWidth="1"/>
    <col min="6" max="6" width="14.44140625" bestFit="1" customWidth="1"/>
    <col min="7" max="7" width="15.21875" bestFit="1" customWidth="1"/>
    <col min="8" max="8" width="16" bestFit="1" customWidth="1"/>
    <col min="9" max="9" width="21.33203125" bestFit="1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6" t="s">
        <v>24</v>
      </c>
      <c r="L1" s="6" t="s">
        <v>25</v>
      </c>
      <c r="M1" s="6" t="s">
        <v>26</v>
      </c>
    </row>
    <row r="2" spans="1:13" x14ac:dyDescent="0.3">
      <c r="A2" s="9" t="s">
        <v>9</v>
      </c>
      <c r="B2" s="3">
        <v>0.98199999999999998</v>
      </c>
      <c r="C2" s="3">
        <v>0.99419999999999997</v>
      </c>
      <c r="D2" s="3">
        <v>0.99187267852790639</v>
      </c>
      <c r="E2" s="3">
        <v>50</v>
      </c>
      <c r="F2" s="3">
        <v>50.055900000000001</v>
      </c>
      <c r="G2" s="3">
        <v>50</v>
      </c>
      <c r="H2" s="3">
        <v>50.055900000000001</v>
      </c>
      <c r="I2" s="3">
        <v>5.4988118064158258E-2</v>
      </c>
      <c r="K2" s="6">
        <v>15</v>
      </c>
      <c r="L2" s="6">
        <f>COUNTIFS(G2:G15,"&gt;=49,5",H2:H15,"&lt;=50,5")</f>
        <v>14</v>
      </c>
      <c r="M2" s="8">
        <f>L2/K2</f>
        <v>0.93333333333333335</v>
      </c>
    </row>
    <row r="3" spans="1:13" x14ac:dyDescent="0.3">
      <c r="A3" s="9" t="s">
        <v>10</v>
      </c>
      <c r="B3" s="3">
        <v>1.0002</v>
      </c>
      <c r="C3" s="3">
        <v>1.0370999999999999</v>
      </c>
      <c r="D3" s="3">
        <v>1.03025086522057</v>
      </c>
      <c r="E3" s="3">
        <v>50</v>
      </c>
      <c r="F3" s="3">
        <v>50.053199999999997</v>
      </c>
      <c r="G3" s="3">
        <v>50</v>
      </c>
      <c r="H3" s="3">
        <v>50.053199999999997</v>
      </c>
      <c r="I3" s="3">
        <v>7.1734254715653339E-2</v>
      </c>
    </row>
    <row r="4" spans="1:13" x14ac:dyDescent="0.3">
      <c r="A4" s="9" t="s">
        <v>11</v>
      </c>
      <c r="B4" s="3">
        <v>0.99970000000000003</v>
      </c>
      <c r="C4" s="3">
        <v>1.0424</v>
      </c>
      <c r="D4" s="3">
        <v>1.0350755057275161</v>
      </c>
      <c r="E4" s="3">
        <v>50</v>
      </c>
      <c r="F4" s="3">
        <v>50.053199999999997</v>
      </c>
      <c r="G4" s="3">
        <v>50</v>
      </c>
      <c r="H4" s="3">
        <v>50.053199999999997</v>
      </c>
      <c r="I4" s="3">
        <v>7.1743836664960148E-2</v>
      </c>
    </row>
    <row r="5" spans="1:13" x14ac:dyDescent="0.3">
      <c r="A5" s="9" t="s">
        <v>12</v>
      </c>
      <c r="B5" s="3">
        <v>0.93010000000000004</v>
      </c>
      <c r="C5" s="3">
        <v>0.96199999999999997</v>
      </c>
      <c r="D5" s="3">
        <v>0.95634716061418468</v>
      </c>
      <c r="E5" s="3">
        <v>50</v>
      </c>
      <c r="F5" s="3">
        <v>50.053199999999997</v>
      </c>
      <c r="G5" s="3">
        <v>50</v>
      </c>
      <c r="H5" s="3">
        <v>50.053199999999997</v>
      </c>
      <c r="I5" s="3">
        <v>7.0315456386387865E-2</v>
      </c>
    </row>
    <row r="6" spans="1:13" x14ac:dyDescent="0.3">
      <c r="A6" s="9" t="s">
        <v>13</v>
      </c>
      <c r="B6" s="3">
        <v>0.95940000000000003</v>
      </c>
      <c r="C6" s="3">
        <v>0.98509999999999998</v>
      </c>
      <c r="D6" s="3">
        <v>0.9803923470631245</v>
      </c>
      <c r="E6" s="3">
        <v>50</v>
      </c>
      <c r="F6" s="3">
        <v>50.053400000000003</v>
      </c>
      <c r="G6" s="3">
        <v>50</v>
      </c>
      <c r="H6" s="3">
        <v>50.053400000000003</v>
      </c>
      <c r="I6" s="3">
        <v>6.8288991384124115E-2</v>
      </c>
    </row>
    <row r="7" spans="1:13" x14ac:dyDescent="0.3">
      <c r="A7" s="9" t="s">
        <v>14</v>
      </c>
      <c r="B7" s="3">
        <v>0.96740000000000004</v>
      </c>
      <c r="C7" s="3">
        <v>0.99519999999999997</v>
      </c>
      <c r="D7" s="3">
        <v>0.9901042895442359</v>
      </c>
      <c r="E7" s="3">
        <v>50</v>
      </c>
      <c r="F7" s="3">
        <v>50.053400000000003</v>
      </c>
      <c r="G7" s="3">
        <v>50</v>
      </c>
      <c r="H7" s="3">
        <v>50.053400000000003</v>
      </c>
      <c r="I7" s="3">
        <v>6.9220531532171031E-2</v>
      </c>
    </row>
    <row r="8" spans="1:13" x14ac:dyDescent="0.3">
      <c r="A8" s="9" t="s">
        <v>15</v>
      </c>
      <c r="B8" s="3">
        <v>0.99519999999999997</v>
      </c>
      <c r="C8" s="3">
        <v>1.0004999999999999</v>
      </c>
      <c r="D8" s="3">
        <v>0.99881586643919074</v>
      </c>
      <c r="E8" s="3">
        <v>50</v>
      </c>
      <c r="F8" s="3">
        <v>50.057200000000002</v>
      </c>
      <c r="G8" s="3">
        <v>50</v>
      </c>
      <c r="H8" s="3">
        <v>50.057200000000002</v>
      </c>
      <c r="I8" s="3">
        <v>6.2419906004729381E-2</v>
      </c>
    </row>
    <row r="9" spans="1:13" x14ac:dyDescent="0.3">
      <c r="A9" s="9" t="s">
        <v>16</v>
      </c>
      <c r="B9" s="3">
        <v>1.0311999999999999</v>
      </c>
      <c r="C9" s="3">
        <v>1.0542</v>
      </c>
      <c r="D9" s="3">
        <v>1.04823670485011</v>
      </c>
      <c r="E9" s="3">
        <v>50</v>
      </c>
      <c r="F9" s="3">
        <v>50.057000000000002</v>
      </c>
      <c r="G9" s="3">
        <v>50</v>
      </c>
      <c r="H9" s="3">
        <v>50.057000000000002</v>
      </c>
      <c r="I9" s="3">
        <v>6.8113701686273523E-2</v>
      </c>
    </row>
    <row r="10" spans="1:13" x14ac:dyDescent="0.3">
      <c r="A10" s="9" t="s">
        <v>17</v>
      </c>
      <c r="B10" s="3">
        <v>1.0475000000000001</v>
      </c>
      <c r="C10" s="3">
        <v>1.0527</v>
      </c>
      <c r="D10" s="3">
        <v>1.050127077747989</v>
      </c>
      <c r="E10" s="3">
        <v>50</v>
      </c>
      <c r="F10" s="3">
        <v>50.071199999999997</v>
      </c>
      <c r="G10" s="3">
        <v>50</v>
      </c>
      <c r="H10" s="3">
        <v>50.071199999999997</v>
      </c>
      <c r="I10" s="3">
        <v>-8.1465604905225947E-2</v>
      </c>
    </row>
    <row r="11" spans="1:13" x14ac:dyDescent="0.3">
      <c r="A11" s="9" t="s">
        <v>18</v>
      </c>
      <c r="B11" s="3">
        <v>1.0069999999999999</v>
      </c>
      <c r="C11" s="3">
        <v>1.0118</v>
      </c>
      <c r="D11" s="3">
        <v>1.0102015110894469</v>
      </c>
      <c r="E11" s="3">
        <v>50</v>
      </c>
      <c r="F11" s="3">
        <v>50.057200000000002</v>
      </c>
      <c r="G11" s="3">
        <v>50</v>
      </c>
      <c r="H11" s="3">
        <v>50.057200000000002</v>
      </c>
      <c r="I11" s="3">
        <v>6.489213445619324E-2</v>
      </c>
    </row>
    <row r="12" spans="1:13" x14ac:dyDescent="0.3">
      <c r="A12" s="9" t="s">
        <v>19</v>
      </c>
      <c r="B12" s="3">
        <v>1.0394000000000001</v>
      </c>
      <c r="C12" s="3">
        <v>1.0416000000000001</v>
      </c>
      <c r="D12" s="3">
        <v>1.040434998781379</v>
      </c>
      <c r="E12" s="3">
        <v>50</v>
      </c>
      <c r="F12" s="3">
        <v>50.084299999999999</v>
      </c>
      <c r="G12" s="3">
        <v>50</v>
      </c>
      <c r="H12" s="3">
        <v>50.084299999999999</v>
      </c>
      <c r="I12" s="3">
        <v>-0.14029314287027139</v>
      </c>
    </row>
    <row r="13" spans="1:13" x14ac:dyDescent="0.3">
      <c r="A13" s="9" t="s">
        <v>20</v>
      </c>
      <c r="B13" s="3">
        <v>1.0137</v>
      </c>
      <c r="C13" s="3">
        <v>1.0219</v>
      </c>
      <c r="D13" s="3">
        <v>1.0200110163295151</v>
      </c>
      <c r="E13" s="3">
        <v>50</v>
      </c>
      <c r="F13" s="3">
        <v>50.0565</v>
      </c>
      <c r="G13" s="3">
        <v>50</v>
      </c>
      <c r="H13" s="3">
        <v>50.0565</v>
      </c>
      <c r="I13" s="3">
        <v>5.7183864660044867E-2</v>
      </c>
    </row>
    <row r="14" spans="1:13" x14ac:dyDescent="0.3">
      <c r="A14" s="9" t="s">
        <v>21</v>
      </c>
      <c r="B14" s="3">
        <v>1.0366</v>
      </c>
      <c r="C14" s="3">
        <v>1.0417000000000001</v>
      </c>
      <c r="D14" s="3">
        <v>1.040081403850841</v>
      </c>
      <c r="E14" s="3">
        <v>50</v>
      </c>
      <c r="F14" s="3">
        <v>50.057099999999998</v>
      </c>
      <c r="G14" s="3">
        <v>50</v>
      </c>
      <c r="H14" s="3">
        <v>50.057099999999998</v>
      </c>
      <c r="I14" s="3">
        <v>6.3309483025976054E-2</v>
      </c>
    </row>
    <row r="15" spans="1:13" x14ac:dyDescent="0.3">
      <c r="A15" s="9" t="s">
        <v>22</v>
      </c>
      <c r="B15" s="3">
        <v>1.0066999999999999</v>
      </c>
      <c r="C15" s="3">
        <v>1.0118</v>
      </c>
      <c r="D15" s="3">
        <v>1.0101567877163049</v>
      </c>
      <c r="E15" s="3">
        <v>50</v>
      </c>
      <c r="F15" s="3">
        <v>50.057200000000002</v>
      </c>
      <c r="G15" s="3">
        <v>50</v>
      </c>
      <c r="H15" s="3">
        <v>50.057200000000002</v>
      </c>
      <c r="I15" s="3">
        <v>6.3317346184129264E-2</v>
      </c>
    </row>
    <row r="17" spans="1:9" x14ac:dyDescent="0.3">
      <c r="A17" s="1" t="s">
        <v>23</v>
      </c>
      <c r="B17" s="7">
        <f>MIN(B2:B15)</f>
        <v>0.93010000000000004</v>
      </c>
      <c r="C17" s="7">
        <f>MAX(C2:C15)</f>
        <v>1.0542</v>
      </c>
      <c r="D17" s="7">
        <f>AVERAGE(D2:D15)</f>
        <v>1.014436300964451</v>
      </c>
      <c r="E17" s="7">
        <f>MIN(E2:E15)</f>
        <v>50</v>
      </c>
      <c r="F17" s="7">
        <f>MAX(F2:F15)</f>
        <v>50.084299999999999</v>
      </c>
      <c r="G17" s="7">
        <f>MIN(G2:G15)</f>
        <v>50</v>
      </c>
      <c r="H17" s="7">
        <f>MAX(H2:H15)</f>
        <v>50.084299999999999</v>
      </c>
      <c r="I17" s="7" cm="1">
        <f t="array" ref="I17">_xlfn.XLOOKUP(MAX(ABS(I2:I15)),ABS(I2:I15),I2:I15)</f>
        <v>-0.14029314287027139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12A0-BC91-4584-BD7D-23F8CCFF10C5}">
  <dimension ref="A1:M17"/>
  <sheetViews>
    <sheetView workbookViewId="0">
      <selection activeCell="B17" sqref="B17:I17"/>
    </sheetView>
  </sheetViews>
  <sheetFormatPr baseColWidth="10" defaultRowHeight="14.4" x14ac:dyDescent="0.3"/>
  <cols>
    <col min="1" max="1" width="17.109375" bestFit="1" customWidth="1"/>
    <col min="2" max="2" width="14.88671875" bestFit="1" customWidth="1"/>
    <col min="3" max="3" width="15.21875" bestFit="1" customWidth="1"/>
    <col min="4" max="4" width="16.44140625" bestFit="1" customWidth="1"/>
    <col min="5" max="5" width="14.109375" bestFit="1" customWidth="1"/>
    <col min="6" max="6" width="14.44140625" bestFit="1" customWidth="1"/>
    <col min="7" max="7" width="15.21875" bestFit="1" customWidth="1"/>
    <col min="8" max="8" width="16" bestFit="1" customWidth="1"/>
    <col min="9" max="9" width="21.33203125" bestFit="1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6" t="s">
        <v>24</v>
      </c>
      <c r="L1" s="6" t="s">
        <v>25</v>
      </c>
      <c r="M1" s="6" t="s">
        <v>26</v>
      </c>
    </row>
    <row r="2" spans="1:13" x14ac:dyDescent="0.3">
      <c r="A2" s="9" t="s">
        <v>9</v>
      </c>
      <c r="B2" s="4">
        <v>0.98229999999999995</v>
      </c>
      <c r="C2" s="4">
        <v>0.99360000000000004</v>
      </c>
      <c r="D2" s="4">
        <v>0.99160550816475757</v>
      </c>
      <c r="E2" s="4">
        <v>50</v>
      </c>
      <c r="F2" s="4">
        <v>50.0383</v>
      </c>
      <c r="G2" s="4">
        <v>50</v>
      </c>
      <c r="H2" s="4">
        <v>50.0383</v>
      </c>
      <c r="I2" s="4">
        <v>4.9139432922493217E-2</v>
      </c>
      <c r="K2" s="6">
        <v>15</v>
      </c>
      <c r="L2" s="6">
        <f>COUNTIFS(G2:G15,"&gt;=49,5",H2:H15,"&lt;=50,5")</f>
        <v>14</v>
      </c>
      <c r="M2" s="8">
        <f>L2/K2</f>
        <v>0.93333333333333335</v>
      </c>
    </row>
    <row r="3" spans="1:13" x14ac:dyDescent="0.3">
      <c r="A3" s="9" t="s">
        <v>10</v>
      </c>
      <c r="B3" s="4">
        <v>1.0013000000000001</v>
      </c>
      <c r="C3" s="4">
        <v>1.0365</v>
      </c>
      <c r="D3" s="4">
        <v>1.030078381671947</v>
      </c>
      <c r="E3" s="4">
        <v>50</v>
      </c>
      <c r="F3" s="4">
        <v>50.0381</v>
      </c>
      <c r="G3" s="4">
        <v>50</v>
      </c>
      <c r="H3" s="4">
        <v>50.0381</v>
      </c>
      <c r="I3" s="4">
        <v>6.6101542811593555E-2</v>
      </c>
    </row>
    <row r="4" spans="1:13" x14ac:dyDescent="0.3">
      <c r="A4" s="9" t="s">
        <v>11</v>
      </c>
      <c r="B4" s="4">
        <v>1.0006999999999999</v>
      </c>
      <c r="C4" s="4">
        <v>1.0419</v>
      </c>
      <c r="D4" s="4">
        <v>1.0348946380697051</v>
      </c>
      <c r="E4" s="4">
        <v>50</v>
      </c>
      <c r="F4" s="4">
        <v>50.037999999999997</v>
      </c>
      <c r="G4" s="4">
        <v>50</v>
      </c>
      <c r="H4" s="4">
        <v>50.037999999999997</v>
      </c>
      <c r="I4" s="4">
        <v>6.6394308608981226E-2</v>
      </c>
    </row>
    <row r="5" spans="1:13" x14ac:dyDescent="0.3">
      <c r="A5" s="9" t="s">
        <v>12</v>
      </c>
      <c r="B5" s="4">
        <v>0.93230000000000002</v>
      </c>
      <c r="C5" s="4">
        <v>0.96050000000000002</v>
      </c>
      <c r="D5" s="4">
        <v>0.95566921764562529</v>
      </c>
      <c r="E5" s="4">
        <v>50</v>
      </c>
      <c r="F5" s="4">
        <v>50.037799999999997</v>
      </c>
      <c r="G5" s="4">
        <v>50</v>
      </c>
      <c r="H5" s="4">
        <v>50.037799999999997</v>
      </c>
      <c r="I5" s="4">
        <v>6.4444746371855849E-2</v>
      </c>
    </row>
    <row r="6" spans="1:13" x14ac:dyDescent="0.3">
      <c r="A6" s="9" t="s">
        <v>13</v>
      </c>
      <c r="B6" s="4">
        <v>0.96360000000000001</v>
      </c>
      <c r="C6" s="4">
        <v>0.9829</v>
      </c>
      <c r="D6" s="4">
        <v>0.97961213746039488</v>
      </c>
      <c r="E6" s="4">
        <v>50</v>
      </c>
      <c r="F6" s="4">
        <v>50.037700000000001</v>
      </c>
      <c r="G6" s="4">
        <v>50</v>
      </c>
      <c r="H6" s="4">
        <v>50.037700000000001</v>
      </c>
      <c r="I6" s="4">
        <v>6.1574133868985463E-2</v>
      </c>
    </row>
    <row r="7" spans="1:13" x14ac:dyDescent="0.3">
      <c r="A7" s="9" t="s">
        <v>14</v>
      </c>
      <c r="B7" s="4">
        <v>0.97299999999999998</v>
      </c>
      <c r="C7" s="4">
        <v>0.9929</v>
      </c>
      <c r="D7" s="4">
        <v>0.98949473555934686</v>
      </c>
      <c r="E7" s="4">
        <v>50</v>
      </c>
      <c r="F7" s="4">
        <v>50.037700000000001</v>
      </c>
      <c r="G7" s="4">
        <v>50</v>
      </c>
      <c r="H7" s="4">
        <v>50.037700000000001</v>
      </c>
      <c r="I7" s="4">
        <v>6.1521124937363933E-2</v>
      </c>
    </row>
    <row r="8" spans="1:13" x14ac:dyDescent="0.3">
      <c r="A8" s="9" t="s">
        <v>15</v>
      </c>
      <c r="B8" s="4">
        <v>0.99590000000000001</v>
      </c>
      <c r="C8" s="4">
        <v>0.99939999999999996</v>
      </c>
      <c r="D8" s="4">
        <v>0.99849517426273449</v>
      </c>
      <c r="E8" s="4">
        <v>50</v>
      </c>
      <c r="F8" s="4">
        <v>50.038600000000002</v>
      </c>
      <c r="G8" s="4">
        <v>50</v>
      </c>
      <c r="H8" s="4">
        <v>50.038600000000002</v>
      </c>
      <c r="I8" s="4">
        <v>5.0646210368131411E-2</v>
      </c>
    </row>
    <row r="9" spans="1:13" x14ac:dyDescent="0.3">
      <c r="A9" s="9" t="s">
        <v>16</v>
      </c>
      <c r="B9" s="4">
        <v>1.0316000000000001</v>
      </c>
      <c r="C9" s="4">
        <v>1.0538000000000001</v>
      </c>
      <c r="D9" s="4">
        <v>1.0481332683402389</v>
      </c>
      <c r="E9" s="4">
        <v>50</v>
      </c>
      <c r="F9" s="4">
        <v>50.041699999999999</v>
      </c>
      <c r="G9" s="4">
        <v>50</v>
      </c>
      <c r="H9" s="4">
        <v>50.041699999999999</v>
      </c>
      <c r="I9" s="4">
        <v>6.309564871734212E-2</v>
      </c>
    </row>
    <row r="10" spans="1:13" x14ac:dyDescent="0.3">
      <c r="A10" s="9" t="s">
        <v>17</v>
      </c>
      <c r="B10" s="4">
        <v>1.0477000000000001</v>
      </c>
      <c r="C10" s="4">
        <v>1.0523</v>
      </c>
      <c r="D10" s="4">
        <v>1.0500893248842309</v>
      </c>
      <c r="E10" s="4">
        <v>50</v>
      </c>
      <c r="F10" s="4">
        <v>50.05</v>
      </c>
      <c r="G10" s="4">
        <v>50</v>
      </c>
      <c r="H10" s="4">
        <v>50.05</v>
      </c>
      <c r="I10" s="4">
        <v>-7.0868780959856714E-2</v>
      </c>
    </row>
    <row r="11" spans="1:13" x14ac:dyDescent="0.3">
      <c r="A11" s="9" t="s">
        <v>18</v>
      </c>
      <c r="B11" s="4">
        <v>1.0071000000000001</v>
      </c>
      <c r="C11" s="4">
        <v>1.0114000000000001</v>
      </c>
      <c r="D11" s="4">
        <v>1.0100544235924931</v>
      </c>
      <c r="E11" s="4">
        <v>50</v>
      </c>
      <c r="F11" s="4">
        <v>50.038899999999998</v>
      </c>
      <c r="G11" s="4">
        <v>50</v>
      </c>
      <c r="H11" s="4">
        <v>50.038899999999998</v>
      </c>
      <c r="I11" s="4">
        <v>5.5306438914992588E-2</v>
      </c>
    </row>
    <row r="12" spans="1:13" x14ac:dyDescent="0.3">
      <c r="A12" s="9" t="s">
        <v>19</v>
      </c>
      <c r="B12" s="4">
        <v>1.0392999999999999</v>
      </c>
      <c r="C12" s="4">
        <v>1.0412999999999999</v>
      </c>
      <c r="D12" s="4">
        <v>1.0403020960272971</v>
      </c>
      <c r="E12" s="4">
        <v>50</v>
      </c>
      <c r="F12" s="4">
        <v>50.061500000000002</v>
      </c>
      <c r="G12" s="4">
        <v>50</v>
      </c>
      <c r="H12" s="4">
        <v>50.061500000000002</v>
      </c>
      <c r="I12" s="4">
        <v>-0.1222512120607749</v>
      </c>
    </row>
    <row r="13" spans="1:13" x14ac:dyDescent="0.3">
      <c r="A13" s="9" t="s">
        <v>20</v>
      </c>
      <c r="B13" s="4">
        <v>1.014</v>
      </c>
      <c r="C13" s="4">
        <v>1.0214000000000001</v>
      </c>
      <c r="D13" s="4">
        <v>1.0198273702169141</v>
      </c>
      <c r="E13" s="4">
        <v>50</v>
      </c>
      <c r="F13" s="4">
        <v>50.038600000000002</v>
      </c>
      <c r="G13" s="4">
        <v>50</v>
      </c>
      <c r="H13" s="4">
        <v>50.038600000000002</v>
      </c>
      <c r="I13" s="4">
        <v>5.0198889220140548E-2</v>
      </c>
    </row>
    <row r="14" spans="1:13" x14ac:dyDescent="0.3">
      <c r="A14" s="9" t="s">
        <v>21</v>
      </c>
      <c r="B14" s="4">
        <v>1.0367999999999999</v>
      </c>
      <c r="C14" s="4">
        <v>1.0414000000000001</v>
      </c>
      <c r="D14" s="4">
        <v>1.03998981233244</v>
      </c>
      <c r="E14" s="4">
        <v>50</v>
      </c>
      <c r="F14" s="4">
        <v>50.038800000000002</v>
      </c>
      <c r="G14" s="4">
        <v>50</v>
      </c>
      <c r="H14" s="4">
        <v>50.038800000000002</v>
      </c>
      <c r="I14" s="4">
        <v>5.380335424768385E-2</v>
      </c>
    </row>
    <row r="15" spans="1:13" x14ac:dyDescent="0.3">
      <c r="A15" s="9" t="s">
        <v>22</v>
      </c>
      <c r="B15" s="4">
        <v>1.0069999999999999</v>
      </c>
      <c r="C15" s="4">
        <v>1.0111000000000001</v>
      </c>
      <c r="D15" s="4">
        <v>1.009944577138679</v>
      </c>
      <c r="E15" s="4">
        <v>50</v>
      </c>
      <c r="F15" s="4">
        <v>50.038800000000002</v>
      </c>
      <c r="G15" s="4">
        <v>50</v>
      </c>
      <c r="H15" s="4">
        <v>50.038800000000002</v>
      </c>
      <c r="I15" s="4">
        <v>5.2840021948151288E-2</v>
      </c>
    </row>
    <row r="17" spans="1:9" x14ac:dyDescent="0.3">
      <c r="A17" s="1" t="s">
        <v>23</v>
      </c>
      <c r="B17" s="7">
        <f>MIN(B2:B15)</f>
        <v>0.93230000000000002</v>
      </c>
      <c r="C17" s="7">
        <f>MAX(C2:C15)</f>
        <v>1.0538000000000001</v>
      </c>
      <c r="D17" s="7">
        <f>AVERAGE(D2:D15)</f>
        <v>1.0141564760976289</v>
      </c>
      <c r="E17" s="7">
        <f>MIN(E2:E15)</f>
        <v>50</v>
      </c>
      <c r="F17" s="7">
        <f>MAX(F2:F15)</f>
        <v>50.061500000000002</v>
      </c>
      <c r="G17" s="7">
        <f>MIN(G2:G15)</f>
        <v>50</v>
      </c>
      <c r="H17" s="7">
        <f>MAX(H2:H15)</f>
        <v>50.061500000000002</v>
      </c>
      <c r="I17" s="7" cm="1">
        <f t="array" ref="I17">_xlfn.XLOOKUP(MAX(ABS(I2:I15)),ABS(I2:I15),I2:I15)</f>
        <v>-0.1222512120607749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4734-E24E-4496-89A8-9FFE2467E86E}">
  <dimension ref="A1:M17"/>
  <sheetViews>
    <sheetView workbookViewId="0">
      <selection activeCell="B17" sqref="B17:I17"/>
    </sheetView>
  </sheetViews>
  <sheetFormatPr baseColWidth="10" defaultRowHeight="14.4" x14ac:dyDescent="0.3"/>
  <cols>
    <col min="1" max="1" width="17.109375" bestFit="1" customWidth="1"/>
    <col min="2" max="2" width="14.88671875" bestFit="1" customWidth="1"/>
    <col min="3" max="3" width="15.21875" bestFit="1" customWidth="1"/>
    <col min="4" max="4" width="16.44140625" bestFit="1" customWidth="1"/>
    <col min="5" max="5" width="14.109375" bestFit="1" customWidth="1"/>
    <col min="6" max="6" width="14.44140625" bestFit="1" customWidth="1"/>
    <col min="7" max="7" width="15.21875" bestFit="1" customWidth="1"/>
    <col min="8" max="8" width="16" bestFit="1" customWidth="1"/>
    <col min="9" max="9" width="21.33203125" bestFit="1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6" t="s">
        <v>24</v>
      </c>
      <c r="L1" s="6" t="s">
        <v>25</v>
      </c>
      <c r="M1" s="6" t="s">
        <v>26</v>
      </c>
    </row>
    <row r="2" spans="1:13" x14ac:dyDescent="0.3">
      <c r="A2" s="9" t="s">
        <v>9</v>
      </c>
      <c r="B2" s="5">
        <v>0.97509999999999997</v>
      </c>
      <c r="C2" s="5">
        <v>0.98499999999999999</v>
      </c>
      <c r="D2" s="5">
        <v>0.98288452351937583</v>
      </c>
      <c r="E2" s="5">
        <v>50</v>
      </c>
      <c r="F2" s="5">
        <v>50.021500000000003</v>
      </c>
      <c r="G2" s="5">
        <v>50</v>
      </c>
      <c r="H2" s="5">
        <v>50.021500000000003</v>
      </c>
      <c r="I2" s="5">
        <v>4.3120986109931571E-2</v>
      </c>
      <c r="K2" s="6">
        <v>15</v>
      </c>
      <c r="L2" s="6">
        <f>COUNTIFS(G2:G15,"&gt;=49,5",H2:H15,"&lt;=50,5")</f>
        <v>14</v>
      </c>
      <c r="M2" s="8">
        <f>L2/K2</f>
        <v>0.93333333333333335</v>
      </c>
    </row>
    <row r="3" spans="1:13" x14ac:dyDescent="0.3">
      <c r="A3" s="9" t="s">
        <v>10</v>
      </c>
      <c r="B3" s="5">
        <v>1.0016</v>
      </c>
      <c r="C3" s="5">
        <v>1.036</v>
      </c>
      <c r="D3" s="5">
        <v>1.0296995369242019</v>
      </c>
      <c r="E3" s="5">
        <v>50</v>
      </c>
      <c r="F3" s="5">
        <v>50.026299999999999</v>
      </c>
      <c r="G3" s="5">
        <v>50</v>
      </c>
      <c r="H3" s="5">
        <v>50.026299999999999</v>
      </c>
      <c r="I3" s="5">
        <v>6.4125017759322556E-2</v>
      </c>
    </row>
    <row r="4" spans="1:13" x14ac:dyDescent="0.3">
      <c r="A4" s="9" t="s">
        <v>11</v>
      </c>
      <c r="B4" s="5">
        <v>0.99339999999999995</v>
      </c>
      <c r="C4" s="5">
        <v>1.0337000000000001</v>
      </c>
      <c r="D4" s="5">
        <v>1.02687572507921</v>
      </c>
      <c r="E4" s="5">
        <v>50</v>
      </c>
      <c r="F4" s="5">
        <v>50.027000000000001</v>
      </c>
      <c r="G4" s="5">
        <v>50</v>
      </c>
      <c r="H4" s="5">
        <v>50.027000000000001</v>
      </c>
      <c r="I4" s="5">
        <v>6.4591693021831001E-2</v>
      </c>
    </row>
    <row r="5" spans="1:13" x14ac:dyDescent="0.3">
      <c r="A5" s="9" t="s">
        <v>12</v>
      </c>
      <c r="B5" s="5">
        <v>0.93020000000000003</v>
      </c>
      <c r="C5" s="5">
        <v>0.95660000000000001</v>
      </c>
      <c r="D5" s="5">
        <v>0.9523588593711918</v>
      </c>
      <c r="E5" s="5">
        <v>50</v>
      </c>
      <c r="F5" s="5">
        <v>50.022100000000002</v>
      </c>
      <c r="G5" s="5">
        <v>50</v>
      </c>
      <c r="H5" s="5">
        <v>50.022100000000002</v>
      </c>
      <c r="I5" s="5">
        <v>5.9848307267866441E-2</v>
      </c>
    </row>
    <row r="6" spans="1:13" x14ac:dyDescent="0.3">
      <c r="A6" s="9" t="s">
        <v>13</v>
      </c>
      <c r="B6" s="5">
        <v>0.96579999999999999</v>
      </c>
      <c r="C6" s="5">
        <v>0.98280000000000001</v>
      </c>
      <c r="D6" s="5">
        <v>0.97983716792590803</v>
      </c>
      <c r="E6" s="5">
        <v>50</v>
      </c>
      <c r="F6" s="5">
        <v>50.020200000000003</v>
      </c>
      <c r="G6" s="5">
        <v>50</v>
      </c>
      <c r="H6" s="5">
        <v>50.020200000000003</v>
      </c>
      <c r="I6" s="5">
        <v>5.4304026350631793E-2</v>
      </c>
    </row>
    <row r="7" spans="1:13" x14ac:dyDescent="0.3">
      <c r="A7" s="9" t="s">
        <v>14</v>
      </c>
      <c r="B7" s="5">
        <v>0.97450000000000003</v>
      </c>
      <c r="C7" s="5">
        <v>0.99250000000000005</v>
      </c>
      <c r="D7" s="5">
        <v>0.98952512795515479</v>
      </c>
      <c r="E7" s="5">
        <v>50</v>
      </c>
      <c r="F7" s="5">
        <v>50.020299999999999</v>
      </c>
      <c r="G7" s="5">
        <v>50</v>
      </c>
      <c r="H7" s="5">
        <v>50.020299999999999</v>
      </c>
      <c r="I7" s="5">
        <v>5.5227201700593649E-2</v>
      </c>
    </row>
    <row r="8" spans="1:13" x14ac:dyDescent="0.3">
      <c r="A8" s="9" t="s">
        <v>15</v>
      </c>
      <c r="B8" s="5">
        <v>0.99660000000000004</v>
      </c>
      <c r="C8" s="5">
        <v>0.99870000000000003</v>
      </c>
      <c r="D8" s="5">
        <v>0.99833219595417966</v>
      </c>
      <c r="E8" s="5">
        <v>50</v>
      </c>
      <c r="F8" s="5">
        <v>50.020899999999997</v>
      </c>
      <c r="G8" s="5">
        <v>50</v>
      </c>
      <c r="H8" s="5">
        <v>50.020899999999997</v>
      </c>
      <c r="I8" s="5">
        <v>3.474389998564046E-2</v>
      </c>
    </row>
    <row r="9" spans="1:13" x14ac:dyDescent="0.3">
      <c r="A9" s="9" t="s">
        <v>16</v>
      </c>
      <c r="B9" s="5">
        <v>1.032</v>
      </c>
      <c r="C9" s="5">
        <v>1.0538000000000001</v>
      </c>
      <c r="D9" s="5">
        <v>1.0479907384840359</v>
      </c>
      <c r="E9" s="5">
        <v>50</v>
      </c>
      <c r="F9" s="5">
        <v>50.025500000000001</v>
      </c>
      <c r="G9" s="5">
        <v>50</v>
      </c>
      <c r="H9" s="5">
        <v>50.025500000000001</v>
      </c>
      <c r="I9" s="5">
        <v>5.9944197229771401E-2</v>
      </c>
    </row>
    <row r="10" spans="1:13" x14ac:dyDescent="0.3">
      <c r="A10" s="9" t="s">
        <v>17</v>
      </c>
      <c r="B10" s="5">
        <v>1.0470999999999999</v>
      </c>
      <c r="C10" s="5">
        <v>1.05</v>
      </c>
      <c r="D10" s="5">
        <v>1.0488803802096029</v>
      </c>
      <c r="E10" s="5">
        <v>50</v>
      </c>
      <c r="F10" s="5">
        <v>50.020400000000002</v>
      </c>
      <c r="G10" s="5">
        <v>50</v>
      </c>
      <c r="H10" s="5">
        <v>50.020400000000002</v>
      </c>
      <c r="I10" s="5">
        <v>3.6406527184698168E-2</v>
      </c>
    </row>
    <row r="11" spans="1:13" x14ac:dyDescent="0.3">
      <c r="A11" s="9" t="s">
        <v>18</v>
      </c>
      <c r="B11" s="5">
        <v>1.0076000000000001</v>
      </c>
      <c r="C11" s="5">
        <v>1.0103</v>
      </c>
      <c r="D11" s="5">
        <v>1.0097386790153551</v>
      </c>
      <c r="E11" s="5">
        <v>50</v>
      </c>
      <c r="F11" s="5">
        <v>50.022399999999998</v>
      </c>
      <c r="G11" s="5">
        <v>50</v>
      </c>
      <c r="H11" s="5">
        <v>50.022399999999998</v>
      </c>
      <c r="I11" s="5">
        <v>3.8994722568149107E-2</v>
      </c>
    </row>
    <row r="12" spans="1:13" x14ac:dyDescent="0.3">
      <c r="A12" s="9" t="s">
        <v>19</v>
      </c>
      <c r="B12" s="5">
        <v>1.0395000000000001</v>
      </c>
      <c r="C12" s="5">
        <v>1.04</v>
      </c>
      <c r="D12" s="5">
        <v>1.0398799902510361</v>
      </c>
      <c r="E12" s="5">
        <v>50</v>
      </c>
      <c r="F12" s="5">
        <v>50.017099999999999</v>
      </c>
      <c r="G12" s="5">
        <v>50</v>
      </c>
      <c r="H12" s="5">
        <v>50.017099999999999</v>
      </c>
      <c r="I12" s="5">
        <v>2.7338845814323762E-2</v>
      </c>
    </row>
    <row r="13" spans="1:13" x14ac:dyDescent="0.3">
      <c r="A13" s="9" t="s">
        <v>20</v>
      </c>
      <c r="B13" s="5">
        <v>1.0142</v>
      </c>
      <c r="C13" s="5">
        <v>1.02</v>
      </c>
      <c r="D13" s="5">
        <v>1.0191272727272731</v>
      </c>
      <c r="E13" s="5">
        <v>50</v>
      </c>
      <c r="F13" s="5">
        <v>50.021700000000003</v>
      </c>
      <c r="G13" s="5">
        <v>50</v>
      </c>
      <c r="H13" s="5">
        <v>50.021700000000003</v>
      </c>
      <c r="I13" s="5">
        <v>4.2556253457724069E-2</v>
      </c>
    </row>
    <row r="14" spans="1:13" x14ac:dyDescent="0.3">
      <c r="A14" s="9" t="s">
        <v>21</v>
      </c>
      <c r="B14" s="5">
        <v>1.0370999999999999</v>
      </c>
      <c r="C14" s="5">
        <v>1.0405</v>
      </c>
      <c r="D14" s="5">
        <v>1.039704947599317</v>
      </c>
      <c r="E14" s="5">
        <v>50</v>
      </c>
      <c r="F14" s="5">
        <v>50.022300000000001</v>
      </c>
      <c r="G14" s="5">
        <v>50</v>
      </c>
      <c r="H14" s="5">
        <v>50.022300000000001</v>
      </c>
      <c r="I14" s="5">
        <v>3.9021548984787442E-2</v>
      </c>
    </row>
    <row r="15" spans="1:13" x14ac:dyDescent="0.3">
      <c r="A15" s="9" t="s">
        <v>22</v>
      </c>
      <c r="B15" s="5">
        <v>1.0082</v>
      </c>
      <c r="C15" s="5">
        <v>1.01</v>
      </c>
      <c r="D15" s="5">
        <v>1.0096264196929079</v>
      </c>
      <c r="E15" s="5">
        <v>50</v>
      </c>
      <c r="F15" s="5">
        <v>50.020899999999997</v>
      </c>
      <c r="G15" s="5">
        <v>50</v>
      </c>
      <c r="H15" s="5">
        <v>50.020899999999997</v>
      </c>
      <c r="I15" s="5">
        <v>3.4084993893302253E-2</v>
      </c>
    </row>
    <row r="17" spans="1:9" x14ac:dyDescent="0.3">
      <c r="A17" s="1" t="s">
        <v>23</v>
      </c>
      <c r="B17" s="7">
        <f>MIN(B2:B15)</f>
        <v>0.93020000000000003</v>
      </c>
      <c r="C17" s="7">
        <f>MAX(C2:C15)</f>
        <v>1.0538000000000001</v>
      </c>
      <c r="D17" s="7">
        <f>AVERAGE(D2:D15)</f>
        <v>1.0124615403363391</v>
      </c>
      <c r="E17" s="7">
        <f>MIN(E2:E15)</f>
        <v>50</v>
      </c>
      <c r="F17" s="7">
        <f>MAX(F2:F15)</f>
        <v>50.027000000000001</v>
      </c>
      <c r="G17" s="7">
        <f>MIN(G2:G15)</f>
        <v>50</v>
      </c>
      <c r="H17" s="7">
        <f>MAX(H2:H15)</f>
        <v>50.027000000000001</v>
      </c>
      <c r="I17" s="7" cm="1">
        <f t="array" ref="I17">_xlfn.XLOOKUP(MAX(ABS(I2:I15)),ABS(I2:I15),I2:I15)</f>
        <v>6.4591693021831001E-2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44EA-6EEB-46F6-AFD8-3765485E8518}">
  <dimension ref="A1:M17"/>
  <sheetViews>
    <sheetView workbookViewId="0">
      <selection activeCell="B17" sqref="B17:I17"/>
    </sheetView>
  </sheetViews>
  <sheetFormatPr baseColWidth="10" defaultRowHeight="14.4" x14ac:dyDescent="0.3"/>
  <cols>
    <col min="1" max="1" width="17.109375" bestFit="1" customWidth="1"/>
    <col min="2" max="2" width="14.88671875" bestFit="1" customWidth="1"/>
    <col min="3" max="3" width="15.21875" bestFit="1" customWidth="1"/>
    <col min="4" max="4" width="16.44140625" bestFit="1" customWidth="1"/>
    <col min="5" max="5" width="14.109375" bestFit="1" customWidth="1"/>
    <col min="6" max="6" width="14.44140625" bestFit="1" customWidth="1"/>
    <col min="7" max="7" width="15.21875" bestFit="1" customWidth="1"/>
    <col min="8" max="8" width="16" bestFit="1" customWidth="1"/>
    <col min="9" max="9" width="21.33203125" bestFit="1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6" t="s">
        <v>24</v>
      </c>
      <c r="L1" s="6" t="s">
        <v>25</v>
      </c>
      <c r="M1" s="6" t="s">
        <v>26</v>
      </c>
    </row>
    <row r="2" spans="1:13" x14ac:dyDescent="0.3">
      <c r="A2" s="9" t="s">
        <v>9</v>
      </c>
      <c r="B2" s="6">
        <v>0.9758</v>
      </c>
      <c r="C2" s="6">
        <v>0.98499999999999999</v>
      </c>
      <c r="D2" s="6">
        <v>0.98187782651072131</v>
      </c>
      <c r="E2" s="6">
        <v>50</v>
      </c>
      <c r="F2" s="6">
        <v>50.012500000000003</v>
      </c>
      <c r="G2" s="6">
        <v>50</v>
      </c>
      <c r="H2" s="6">
        <v>50.012500000000003</v>
      </c>
      <c r="I2" s="6">
        <v>3.211228342197775E-2</v>
      </c>
      <c r="K2" s="6">
        <v>15</v>
      </c>
      <c r="L2" s="6">
        <f>COUNTIFS(G2:G15,"&gt;=49,5",H2:H15,"&lt;=50,5")</f>
        <v>14</v>
      </c>
      <c r="M2" s="8">
        <f>L2/K2</f>
        <v>0.93333333333333335</v>
      </c>
    </row>
    <row r="3" spans="1:13" x14ac:dyDescent="0.3">
      <c r="A3" s="9" t="s">
        <v>10</v>
      </c>
      <c r="B3" s="6">
        <v>1.0016</v>
      </c>
      <c r="C3" s="6">
        <v>1.0354000000000001</v>
      </c>
      <c r="D3" s="6">
        <v>1.029323294346979</v>
      </c>
      <c r="E3" s="6">
        <v>50</v>
      </c>
      <c r="F3" s="6">
        <v>50.025700000000001</v>
      </c>
      <c r="G3" s="6">
        <v>50</v>
      </c>
      <c r="H3" s="6">
        <v>50.025700000000001</v>
      </c>
      <c r="I3" s="6">
        <v>6.2014188125578559E-2</v>
      </c>
    </row>
    <row r="4" spans="1:13" x14ac:dyDescent="0.3">
      <c r="A4" s="9" t="s">
        <v>11</v>
      </c>
      <c r="B4" s="6">
        <v>0.99339999999999995</v>
      </c>
      <c r="C4" s="6">
        <v>1.0330999999999999</v>
      </c>
      <c r="D4" s="6">
        <v>1.026402217348928</v>
      </c>
      <c r="E4" s="6">
        <v>50</v>
      </c>
      <c r="F4" s="6">
        <v>50.026299999999999</v>
      </c>
      <c r="G4" s="6">
        <v>50</v>
      </c>
      <c r="H4" s="6">
        <v>50.026299999999999</v>
      </c>
      <c r="I4" s="6">
        <v>6.2397146664376298E-2</v>
      </c>
    </row>
    <row r="5" spans="1:13" x14ac:dyDescent="0.3">
      <c r="A5" s="9" t="s">
        <v>12</v>
      </c>
      <c r="B5" s="6">
        <v>0.93020000000000003</v>
      </c>
      <c r="C5" s="6">
        <v>0.95620000000000005</v>
      </c>
      <c r="D5" s="6">
        <v>0.95229110623781699</v>
      </c>
      <c r="E5" s="6">
        <v>50</v>
      </c>
      <c r="F5" s="6">
        <v>50.021500000000003</v>
      </c>
      <c r="G5" s="6">
        <v>50</v>
      </c>
      <c r="H5" s="6">
        <v>50.021500000000003</v>
      </c>
      <c r="I5" s="6">
        <v>5.777657276631791E-2</v>
      </c>
    </row>
    <row r="6" spans="1:13" x14ac:dyDescent="0.3">
      <c r="A6" s="9" t="s">
        <v>13</v>
      </c>
      <c r="B6" s="6">
        <v>0.96579999999999999</v>
      </c>
      <c r="C6" s="6">
        <v>0.98250000000000004</v>
      </c>
      <c r="D6" s="6">
        <v>0.97962197855750499</v>
      </c>
      <c r="E6" s="6">
        <v>50</v>
      </c>
      <c r="F6" s="6">
        <v>50.019100000000002</v>
      </c>
      <c r="G6" s="6">
        <v>50</v>
      </c>
      <c r="H6" s="6">
        <v>50.019100000000002</v>
      </c>
      <c r="I6" s="6">
        <v>5.2367685178205919E-2</v>
      </c>
    </row>
    <row r="7" spans="1:13" x14ac:dyDescent="0.3">
      <c r="A7" s="9" t="s">
        <v>14</v>
      </c>
      <c r="B7" s="6">
        <v>0.97450000000000003</v>
      </c>
      <c r="C7" s="6">
        <v>0.99219999999999997</v>
      </c>
      <c r="D7" s="6">
        <v>0.98942002923976613</v>
      </c>
      <c r="E7" s="6">
        <v>50</v>
      </c>
      <c r="F7" s="6">
        <v>50.019199999999998</v>
      </c>
      <c r="G7" s="6">
        <v>50</v>
      </c>
      <c r="H7" s="6">
        <v>50.019199999999998</v>
      </c>
      <c r="I7" s="6">
        <v>5.3284568275501168E-2</v>
      </c>
    </row>
    <row r="8" spans="1:13" x14ac:dyDescent="0.3">
      <c r="A8" s="9" t="s">
        <v>15</v>
      </c>
      <c r="B8" s="6">
        <v>0.99719999999999998</v>
      </c>
      <c r="C8" s="6">
        <v>0.99870000000000003</v>
      </c>
      <c r="D8" s="6">
        <v>0.9982996101364523</v>
      </c>
      <c r="E8" s="6">
        <v>50</v>
      </c>
      <c r="F8" s="6">
        <v>50.009799999999998</v>
      </c>
      <c r="G8" s="6">
        <v>50</v>
      </c>
      <c r="H8" s="6">
        <v>50.009799999999998</v>
      </c>
      <c r="I8" s="6">
        <v>1.9579394894143679E-2</v>
      </c>
    </row>
    <row r="9" spans="1:13" x14ac:dyDescent="0.3">
      <c r="A9" s="9" t="s">
        <v>16</v>
      </c>
      <c r="B9" s="6">
        <v>1.032</v>
      </c>
      <c r="C9" s="6">
        <v>1.0535000000000001</v>
      </c>
      <c r="D9" s="6">
        <v>1.047841788499025</v>
      </c>
      <c r="E9" s="6">
        <v>49.994999999999997</v>
      </c>
      <c r="F9" s="6">
        <v>50.024999999999999</v>
      </c>
      <c r="G9" s="6">
        <v>49.994999999999997</v>
      </c>
      <c r="H9" s="6">
        <v>50.024999999999999</v>
      </c>
      <c r="I9" s="6">
        <v>5.826659797402875E-2</v>
      </c>
    </row>
    <row r="10" spans="1:13" x14ac:dyDescent="0.3">
      <c r="A10" s="9" t="s">
        <v>17</v>
      </c>
      <c r="B10" s="6">
        <v>1.0486</v>
      </c>
      <c r="C10" s="6">
        <v>1.05</v>
      </c>
      <c r="D10" s="6">
        <v>1.0491660331384021</v>
      </c>
      <c r="E10" s="6">
        <v>49.999899999999997</v>
      </c>
      <c r="F10" s="6">
        <v>50.006100000000004</v>
      </c>
      <c r="G10" s="6">
        <v>49.999899999999997</v>
      </c>
      <c r="H10" s="6">
        <v>50.006100000000004</v>
      </c>
      <c r="I10" s="6">
        <v>7.4641056127172697E-3</v>
      </c>
    </row>
    <row r="11" spans="1:13" x14ac:dyDescent="0.3">
      <c r="A11" s="9" t="s">
        <v>18</v>
      </c>
      <c r="B11" s="6">
        <v>1.0088999999999999</v>
      </c>
      <c r="C11" s="6">
        <v>1.01</v>
      </c>
      <c r="D11" s="6">
        <v>1.009773489278752</v>
      </c>
      <c r="E11" s="6">
        <v>50</v>
      </c>
      <c r="F11" s="6">
        <v>50.0092</v>
      </c>
      <c r="G11" s="6">
        <v>50</v>
      </c>
      <c r="H11" s="6">
        <v>50.0092</v>
      </c>
      <c r="I11" s="6">
        <v>1.6281504504488169E-2</v>
      </c>
    </row>
    <row r="12" spans="1:13" x14ac:dyDescent="0.3">
      <c r="A12" s="9" t="s">
        <v>19</v>
      </c>
      <c r="B12" s="6">
        <v>1.0398000000000001</v>
      </c>
      <c r="C12" s="6">
        <v>1.04</v>
      </c>
      <c r="D12" s="6">
        <v>1.039914498050682</v>
      </c>
      <c r="E12" s="6">
        <v>50</v>
      </c>
      <c r="F12" s="6">
        <v>50.006100000000004</v>
      </c>
      <c r="G12" s="6">
        <v>50</v>
      </c>
      <c r="H12" s="6">
        <v>50.006100000000004</v>
      </c>
      <c r="I12" s="6">
        <v>5.7923992652245916E-3</v>
      </c>
    </row>
    <row r="13" spans="1:13" x14ac:dyDescent="0.3">
      <c r="A13" s="9" t="s">
        <v>20</v>
      </c>
      <c r="B13" s="6">
        <v>1.0164</v>
      </c>
      <c r="C13" s="6">
        <v>1.02</v>
      </c>
      <c r="D13" s="6">
        <v>1.018870419103314</v>
      </c>
      <c r="E13" s="6">
        <v>50</v>
      </c>
      <c r="F13" s="6">
        <v>50.011400000000002</v>
      </c>
      <c r="G13" s="6">
        <v>50</v>
      </c>
      <c r="H13" s="6">
        <v>50.011400000000002</v>
      </c>
      <c r="I13" s="6">
        <v>2.6268204186447031E-2</v>
      </c>
    </row>
    <row r="14" spans="1:13" x14ac:dyDescent="0.3">
      <c r="A14" s="9" t="s">
        <v>21</v>
      </c>
      <c r="B14" s="6">
        <v>1.0387</v>
      </c>
      <c r="C14" s="6">
        <v>1.04</v>
      </c>
      <c r="D14" s="6">
        <v>1.0395993908382071</v>
      </c>
      <c r="E14" s="6">
        <v>50</v>
      </c>
      <c r="F14" s="6">
        <v>50.0092</v>
      </c>
      <c r="G14" s="6">
        <v>50</v>
      </c>
      <c r="H14" s="6">
        <v>50.0092</v>
      </c>
      <c r="I14" s="6">
        <v>1.709708906064222E-2</v>
      </c>
    </row>
    <row r="15" spans="1:13" x14ac:dyDescent="0.3">
      <c r="A15" s="9" t="s">
        <v>22</v>
      </c>
      <c r="B15" s="6">
        <v>1.0086999999999999</v>
      </c>
      <c r="C15" s="6">
        <v>1.01</v>
      </c>
      <c r="D15" s="6">
        <v>1.0095511939571149</v>
      </c>
      <c r="E15" s="6">
        <v>50</v>
      </c>
      <c r="F15" s="6">
        <v>50.009399999999999</v>
      </c>
      <c r="G15" s="6">
        <v>50</v>
      </c>
      <c r="H15" s="6">
        <v>50.009399999999999</v>
      </c>
      <c r="I15" s="6">
        <v>1.7895309585769171E-2</v>
      </c>
    </row>
    <row r="17" spans="1:9" x14ac:dyDescent="0.3">
      <c r="A17" s="1" t="s">
        <v>23</v>
      </c>
      <c r="B17" s="7">
        <f>MIN(B2:B15)</f>
        <v>0.93020000000000003</v>
      </c>
      <c r="C17" s="7">
        <f>MAX(C2:C15)</f>
        <v>1.0535000000000001</v>
      </c>
      <c r="D17" s="7">
        <f>AVERAGE(D2:D15)</f>
        <v>1.0122823482316903</v>
      </c>
      <c r="E17" s="7">
        <f>MIN(E2:E15)</f>
        <v>49.994999999999997</v>
      </c>
      <c r="F17" s="7">
        <f>MAX(F2:F15)</f>
        <v>50.026299999999999</v>
      </c>
      <c r="G17" s="7">
        <f>MIN(G2:G15)</f>
        <v>49.994999999999997</v>
      </c>
      <c r="H17" s="7">
        <f>MAX(H2:H15)</f>
        <v>50.026299999999999</v>
      </c>
      <c r="I17" s="7" cm="1">
        <f t="array" ref="I17">_xlfn.XLOOKUP(MAX(ABS(I2:I15)),ABS(I2:I15),I2:I15)</f>
        <v>6.2397146664376298E-2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1E90-E118-4743-9035-2590ED2CDCEC}">
  <dimension ref="B3:I8"/>
  <sheetViews>
    <sheetView tabSelected="1" workbookViewId="0">
      <selection activeCell="B3" sqref="B3:I8"/>
    </sheetView>
  </sheetViews>
  <sheetFormatPr baseColWidth="10" defaultRowHeight="14.4" x14ac:dyDescent="0.3"/>
  <cols>
    <col min="2" max="2" width="15.21875" bestFit="1" customWidth="1"/>
    <col min="3" max="3" width="12.33203125" customWidth="1"/>
    <col min="4" max="4" width="12.6640625" customWidth="1"/>
    <col min="5" max="5" width="13.88671875" customWidth="1"/>
    <col min="6" max="6" width="12.6640625" customWidth="1"/>
    <col min="7" max="7" width="13.44140625" customWidth="1"/>
    <col min="8" max="8" width="18.6640625" customWidth="1"/>
    <col min="9" max="9" width="34.88671875" bestFit="1" customWidth="1"/>
  </cols>
  <sheetData>
    <row r="3" spans="2:9" x14ac:dyDescent="0.3">
      <c r="B3" s="6" t="s">
        <v>27</v>
      </c>
      <c r="C3" s="6" t="s">
        <v>1</v>
      </c>
      <c r="D3" s="6" t="s">
        <v>2</v>
      </c>
      <c r="E3" s="6" t="s">
        <v>3</v>
      </c>
      <c r="F3" s="6" t="s">
        <v>6</v>
      </c>
      <c r="G3" s="6" t="s">
        <v>7</v>
      </c>
      <c r="H3" s="6" t="s">
        <v>8</v>
      </c>
      <c r="I3" s="12" t="s">
        <v>33</v>
      </c>
    </row>
    <row r="4" spans="2:9" x14ac:dyDescent="0.3">
      <c r="B4" s="6" t="s">
        <v>28</v>
      </c>
      <c r="C4" s="6">
        <v>0.92679999999999996</v>
      </c>
      <c r="D4" s="6">
        <v>1.0548999999999999</v>
      </c>
      <c r="E4" s="6">
        <v>1.0143620027672087</v>
      </c>
      <c r="F4" s="6">
        <v>50</v>
      </c>
      <c r="G4" s="6">
        <v>50.122799999999998</v>
      </c>
      <c r="H4" s="6">
        <v>-0.1468401800885929</v>
      </c>
      <c r="I4" s="13" cm="1">
        <f t="array" ref="I4">Tabla7[Porcentaje dentro]</f>
        <v>0.93333333333333335</v>
      </c>
    </row>
    <row r="5" spans="2:9" x14ac:dyDescent="0.3">
      <c r="B5" s="6" t="s">
        <v>29</v>
      </c>
      <c r="C5" s="6">
        <v>0.93010000000000004</v>
      </c>
      <c r="D5" s="6">
        <v>1.0542</v>
      </c>
      <c r="E5" s="6">
        <v>1.014436300964451</v>
      </c>
      <c r="F5" s="6">
        <v>50</v>
      </c>
      <c r="G5" s="6">
        <v>50.084299999999999</v>
      </c>
      <c r="H5" s="6">
        <v>-0.14029314287027139</v>
      </c>
      <c r="I5" s="13" cm="1">
        <f t="array" ref="I5">Tabla7[Porcentaje dentro]</f>
        <v>0.93333333333333335</v>
      </c>
    </row>
    <row r="6" spans="2:9" x14ac:dyDescent="0.3">
      <c r="B6" s="6" t="s">
        <v>30</v>
      </c>
      <c r="C6" s="6">
        <v>0.93230000000000002</v>
      </c>
      <c r="D6" s="6">
        <v>1.0538000000000001</v>
      </c>
      <c r="E6" s="6">
        <v>1.0141564760976289</v>
      </c>
      <c r="F6" s="6">
        <v>50</v>
      </c>
      <c r="G6" s="6">
        <v>50.061500000000002</v>
      </c>
      <c r="H6" s="6">
        <v>-0.1222512120607749</v>
      </c>
      <c r="I6" s="13" cm="1">
        <f t="array" ref="I6">Tabla74[Porcentaje dentro]</f>
        <v>0.93333333333333335</v>
      </c>
    </row>
    <row r="7" spans="2:9" x14ac:dyDescent="0.3">
      <c r="B7" s="6" t="s">
        <v>31</v>
      </c>
      <c r="C7" s="6">
        <v>0.93020000000000003</v>
      </c>
      <c r="D7" s="6">
        <v>1.0538000000000001</v>
      </c>
      <c r="E7" s="6">
        <v>1.0124615403363391</v>
      </c>
      <c r="F7" s="6">
        <v>50</v>
      </c>
      <c r="G7" s="6">
        <v>50.027000000000001</v>
      </c>
      <c r="H7" s="6">
        <v>6.4591693021831001E-2</v>
      </c>
      <c r="I7" s="13" cm="1">
        <f t="array" ref="I7">Tabla75[Porcentaje dentro]</f>
        <v>0.93333333333333335</v>
      </c>
    </row>
    <row r="8" spans="2:9" x14ac:dyDescent="0.3">
      <c r="B8" s="6" t="s">
        <v>32</v>
      </c>
      <c r="C8" s="6">
        <v>0.93020000000000003</v>
      </c>
      <c r="D8" s="6">
        <v>1.0535000000000001</v>
      </c>
      <c r="E8" s="6">
        <v>1.0122823482316903</v>
      </c>
      <c r="F8" s="6">
        <v>49.994999999999997</v>
      </c>
      <c r="G8" s="6">
        <v>50.026299999999999</v>
      </c>
      <c r="H8" s="6">
        <v>6.2397146664376298E-2</v>
      </c>
      <c r="I8" s="13" cm="1">
        <f t="array" ref="I8">Tabla76[Porcentaje dentro]</f>
        <v>0.93333333333333335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Reusmen por 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2026-06-13T22:10:18Z</dcterms:created>
  <dcterms:modified xsi:type="dcterms:W3CDTF">2026-06-13T22:46:14Z</dcterms:modified>
</cp:coreProperties>
</file>