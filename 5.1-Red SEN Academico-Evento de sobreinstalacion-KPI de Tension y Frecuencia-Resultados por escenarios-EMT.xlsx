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camo\Documents\000-Introduccion al trabajo de titulo\datos csv\0-Resultados para el latex\"/>
    </mc:Choice>
  </mc:AlternateContent>
  <xr:revisionPtr revIDLastSave="0" documentId="13_ncr:1_{81A11F83-5780-4462-9BFB-EDCA02FB1A26}" xr6:coauthVersionLast="47" xr6:coauthVersionMax="47" xr10:uidLastSave="{00000000-0000-0000-0000-000000000000}"/>
  <bookViews>
    <workbookView xWindow="-120" yWindow="-120" windowWidth="29040" windowHeight="15720" activeTab="6" xr2:uid="{059C5A50-4494-4520-A133-38B06C5CF859}"/>
  </bookViews>
  <sheets>
    <sheet name="0 cambios" sheetId="1" r:id="rId1"/>
    <sheet name="1 cambios" sheetId="2" r:id="rId2"/>
    <sheet name="2 cambios" sheetId="3" r:id="rId3"/>
    <sheet name="3 cambios" sheetId="4" r:id="rId4"/>
    <sheet name="4 cambios" sheetId="5" r:id="rId5"/>
    <sheet name="sobreinstalacion " sheetId="6" r:id="rId6"/>
    <sheet name="Resumen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9" i="7" l="1" a="1"/>
  <c r="J8" i="7" a="1"/>
  <c r="J7" i="7" a="1"/>
  <c r="J6" i="7" a="1"/>
  <c r="J5" i="7" a="1"/>
  <c r="J4" i="7" a="1"/>
  <c r="L2" i="6"/>
  <c r="L2" i="5"/>
  <c r="L2" i="4"/>
  <c r="L2" i="3"/>
  <c r="L2" i="2"/>
  <c r="L2" i="1"/>
  <c r="I9" i="7" a="1"/>
  <c r="H9" i="7"/>
  <c r="G9" i="7"/>
  <c r="F9" i="7"/>
  <c r="E9" i="7"/>
  <c r="D9" i="7"/>
  <c r="I8" i="7" a="1"/>
  <c r="H8" i="7"/>
  <c r="G8" i="7"/>
  <c r="F8" i="7"/>
  <c r="E8" i="7"/>
  <c r="D8" i="7"/>
  <c r="I7" i="7" a="1"/>
  <c r="H7" i="7"/>
  <c r="G7" i="7"/>
  <c r="F7" i="7"/>
  <c r="E7" i="7"/>
  <c r="D7" i="7"/>
  <c r="I6" i="7" a="1"/>
  <c r="H6" i="7"/>
  <c r="G6" i="7"/>
  <c r="F6" i="7"/>
  <c r="E6" i="7"/>
  <c r="D6" i="7"/>
  <c r="I5" i="7" a="1"/>
  <c r="H5" i="7"/>
  <c r="G5" i="7"/>
  <c r="F5" i="7"/>
  <c r="E5" i="7"/>
  <c r="D5" i="7"/>
  <c r="I4" i="7" a="1"/>
  <c r="H4" i="7"/>
  <c r="G4" i="7"/>
  <c r="F4" i="7"/>
  <c r="E4" i="7"/>
  <c r="D4" i="7"/>
  <c r="I8" i="6" a="1"/>
  <c r="H8" i="6"/>
  <c r="G8" i="6"/>
  <c r="F8" i="6"/>
  <c r="E8" i="6"/>
  <c r="D8" i="6"/>
  <c r="C8" i="6"/>
  <c r="B8" i="6"/>
  <c r="I8" i="5" a="1"/>
  <c r="H8" i="5"/>
  <c r="G8" i="5"/>
  <c r="F8" i="5"/>
  <c r="E8" i="5"/>
  <c r="D8" i="5"/>
  <c r="C8" i="5"/>
  <c r="B8" i="5"/>
  <c r="I8" i="4" a="1"/>
  <c r="H8" i="4"/>
  <c r="G8" i="4"/>
  <c r="F8" i="4"/>
  <c r="E8" i="4"/>
  <c r="D8" i="4"/>
  <c r="C8" i="4"/>
  <c r="B8" i="4"/>
  <c r="I8" i="3" a="1"/>
  <c r="H8" i="3"/>
  <c r="G8" i="3"/>
  <c r="F8" i="3"/>
  <c r="E8" i="3"/>
  <c r="D8" i="3"/>
  <c r="C8" i="3"/>
  <c r="B8" i="3"/>
  <c r="I8" i="2" a="1"/>
  <c r="H8" i="2"/>
  <c r="G8" i="2"/>
  <c r="F8" i="2"/>
  <c r="E8" i="2"/>
  <c r="D8" i="2"/>
  <c r="C8" i="2"/>
  <c r="B8" i="2"/>
  <c r="I8" i="1" a="1"/>
  <c r="H8" i="1"/>
  <c r="G8" i="1"/>
  <c r="F8" i="1"/>
  <c r="E8" i="1"/>
  <c r="D8" i="1"/>
  <c r="C8" i="1"/>
  <c r="B8" i="1"/>
  <c r="M2" i="6" l="1"/>
  <c r="M2" i="5"/>
  <c r="M2" i="4"/>
  <c r="M2" i="3"/>
  <c r="M2" i="2"/>
  <c r="M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<sst xmlns="http://schemas.openxmlformats.org/spreadsheetml/2006/main" count="111" uniqueCount="25">
  <si>
    <t>Barra</t>
  </si>
  <si>
    <t>V_min [pu]</t>
  </si>
  <si>
    <t>V_max [pu]</t>
  </si>
  <si>
    <t>V_mean [pu]</t>
  </si>
  <si>
    <t>f_min [Hz]</t>
  </si>
  <si>
    <t>f_max [Hz]</t>
  </si>
  <si>
    <t>f_nadir [Hz]</t>
  </si>
  <si>
    <t>f_zenith [Hz]</t>
  </si>
  <si>
    <t>ROCOF_max [Hz/s]</t>
  </si>
  <si>
    <t>Hualpen 154 kV</t>
  </si>
  <si>
    <t>Hualpen 220 kV</t>
  </si>
  <si>
    <t>San Vicente 154 kV</t>
  </si>
  <si>
    <t>Toro 13.8kV</t>
  </si>
  <si>
    <t>Sistema</t>
  </si>
  <si>
    <t>Escenario</t>
  </si>
  <si>
    <t>Caso base</t>
  </si>
  <si>
    <t>Reemplazo de 1 unidad térmica</t>
  </si>
  <si>
    <t>Reemplazo de 2 unidades térmicas</t>
  </si>
  <si>
    <t>Reemplazo de 3 unidades térmicas</t>
  </si>
  <si>
    <t>Reemplazo de 4 unidades térmicas</t>
  </si>
  <si>
    <t>Escenario de sobreinstalación</t>
  </si>
  <si>
    <t>Barras dentro de banda frecuencia [%]</t>
  </si>
  <si>
    <t>Total de barras</t>
  </si>
  <si>
    <t>Barras dentro de banda</t>
  </si>
  <si>
    <t>Porcentaje dentro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</si>
</sst>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Calibri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0" fillId="2" borderId="0" xfId="0" applyFill="1"/>
    <xf numFmtId="9" fontId="0" fillId="0" borderId="0" xfId="1" applyFont="1"/>
  </cellXfs>
  <cellStyles count="2">
    <cellStyle name="Normal" xfId="0" builtinId="0"/>
    <cellStyle name="Porcentaje" xfId="1" builtinId="5"/>
  </cellStyles>
  <dxfs count="2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BE0CA9-2BC0-4AA1-B008-3F7291348776}" name="Tabla1" displayName="Tabla1" ref="A1:I5" totalsRowShown="0" headerRowDxfId="19" headerRowBorderDxfId="18" tableBorderDxfId="17">
  <autoFilter ref="A1:I5" xr:uid="{DFBE0CA9-2BC0-4AA1-B008-3F7291348776}"/>
  <tableColumns count="9">
    <tableColumn id="1" xr3:uid="{1ED574FB-8476-4444-AE78-013E28B89682}" name="Barra" dataDxfId="16"/>
    <tableColumn id="2" xr3:uid="{998E4985-E5F6-4DF7-8A1D-EF6B9E219598}" name="V_min [pu]"/>
    <tableColumn id="3" xr3:uid="{09836B5E-4ECE-4217-B422-FD488C837F7F}" name="V_max [pu]"/>
    <tableColumn id="4" xr3:uid="{0BFD670D-287A-4329-B995-A4697BEAB0B6}" name="V_mean [pu]"/>
    <tableColumn id="5" xr3:uid="{D74F8422-B94E-4F4C-8582-552BF251FCAE}" name="f_min [Hz]"/>
    <tableColumn id="6" xr3:uid="{C54CEF22-CC1A-4694-8789-B4C71EEC2B2E}" name="f_max [Hz]"/>
    <tableColumn id="7" xr3:uid="{623EE268-4764-46F1-8000-559CF3EBF115}" name="f_nadir [Hz]"/>
    <tableColumn id="8" xr3:uid="{B373E16A-D353-42B4-BE9E-68E9872AB6C2}" name="f_zenith [Hz]"/>
    <tableColumn id="9" xr3:uid="{95337386-65BF-4F34-81DF-CA6D72B70D27}" name="ROCOF_max [Hz/s]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D88DE15-6FC3-4753-82A8-349CC1AAADA8}" name="Tabla7" displayName="Tabla7" ref="K1:M2" totalsRowShown="0" headerRowCellStyle="Normal" dataCellStyle="Normal">
  <autoFilter ref="K1:M2" xr:uid="{9D88DE15-6FC3-4753-82A8-349CC1AAADA8}"/>
  <tableColumns count="3">
    <tableColumn id="1" xr3:uid="{BE64D03D-ADDD-4ED5-9EB2-E56860F96820}" name="Total de barras" dataCellStyle="Normal"/>
    <tableColumn id="2" xr3:uid="{7828F7AD-F14F-4866-955A-F17C33121366}" name="Barras dentro de banda" dataCellStyle="Normal">
      <calculatedColumnFormula>COUNTIFS(G2:G5,"&gt;=49,5",H2:H5,"&lt;=50,5")</calculatedColumnFormula>
    </tableColumn>
    <tableColumn id="3" xr3:uid="{65592CEC-2700-489E-AE1D-8DD99A7EB9F8}" name="Porcentaje dentro" dataCellStyle="Porcentaje">
      <calculatedColumnFormula>L2/K2</calculatedColumnFormula>
    </tableColumn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BF29EF1-2899-4241-92DD-CDA387542EC9}" name="Tabla2" displayName="Tabla2" ref="A1:I5" totalsRowShown="0" headerRowDxfId="15" headerRowBorderDxfId="14" tableBorderDxfId="13">
  <autoFilter ref="A1:I5" xr:uid="{ABF29EF1-2899-4241-92DD-CDA387542EC9}"/>
  <tableColumns count="9">
    <tableColumn id="1" xr3:uid="{D68ABF53-CECC-4F44-9762-25F236777810}" name="Barra" dataDxfId="12"/>
    <tableColumn id="2" xr3:uid="{94A69339-64EA-4515-B108-FF7B100BE645}" name="V_min [pu]"/>
    <tableColumn id="3" xr3:uid="{B939B589-6C18-4913-8F4C-462AAFE522A5}" name="V_max [pu]"/>
    <tableColumn id="4" xr3:uid="{3A429C85-4DBD-498A-B077-2C31BB96C6F3}" name="V_mean [pu]"/>
    <tableColumn id="5" xr3:uid="{0EC5B357-E99B-4621-A788-3F0137856B7D}" name="f_min [Hz]"/>
    <tableColumn id="6" xr3:uid="{E92CA287-B62E-4560-B4C9-D566C76F19DD}" name="f_max [Hz]"/>
    <tableColumn id="7" xr3:uid="{427C448B-E84E-4964-97AC-BBE291AF6B12}" name="f_nadir [Hz]"/>
    <tableColumn id="8" xr3:uid="{109FF095-BD9B-4944-9C07-9D9F0777DA6E}" name="f_zenith [Hz]"/>
    <tableColumn id="9" xr3:uid="{73027583-55D5-4D2B-B3BB-A64A66AAFE7F}" name="ROCOF_max [Hz/s]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8C15162-F887-4F83-8A2B-3CF4726869D1}" name="Tabla79" displayName="Tabla79" ref="K1:M2" totalsRowShown="0" headerRowCellStyle="Normal" dataCellStyle="Normal">
  <autoFilter ref="K1:M2" xr:uid="{18C15162-F887-4F83-8A2B-3CF4726869D1}"/>
  <tableColumns count="3">
    <tableColumn id="1" xr3:uid="{0BE64292-430F-429C-BECD-F069B4DCE488}" name="Total de barras" dataCellStyle="Normal"/>
    <tableColumn id="2" xr3:uid="{B616B90B-1B3A-4D43-A483-B359040B5E72}" name="Barras dentro de banda" dataCellStyle="Normal">
      <calculatedColumnFormula>COUNTIFS(G2:G5,"&gt;=49,5",H2:H5,"&lt;=50,5")</calculatedColumnFormula>
    </tableColumn>
    <tableColumn id="3" xr3:uid="{DDAF5664-415E-459F-855A-2A947D144CC7}" name="Porcentaje dentro" dataCellStyle="Porcentaje">
      <calculatedColumnFormula>L2/K2</calculatedColumnFormula>
    </tableColumn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4412407-59A7-4EED-8F46-17BE02F1F72F}" name="Tabla3" displayName="Tabla3" ref="A1:I5" totalsRowShown="0" headerRowDxfId="11" headerRowBorderDxfId="10" tableBorderDxfId="9">
  <autoFilter ref="A1:I5" xr:uid="{74412407-59A7-4EED-8F46-17BE02F1F72F}"/>
  <tableColumns count="9">
    <tableColumn id="1" xr3:uid="{58563EFE-692D-437D-B3DB-D728AD2DC8C5}" name="Barra" dataDxfId="8"/>
    <tableColumn id="2" xr3:uid="{B18F13D9-9A04-416F-B2A5-72ED0FAB8B56}" name="V_min [pu]"/>
    <tableColumn id="3" xr3:uid="{5C8CB688-4347-49C3-9440-90B16BE7ACAF}" name="V_max [pu]"/>
    <tableColumn id="4" xr3:uid="{3CEB1648-A64D-4761-A467-83D732444C8A}" name="V_mean [pu]"/>
    <tableColumn id="5" xr3:uid="{BA23A0C0-7F37-4E37-A579-7D8848B95783}" name="f_min [Hz]"/>
    <tableColumn id="6" xr3:uid="{F911FE1D-EE5E-49FC-80E3-5A942A017FA0}" name="f_max [Hz]"/>
    <tableColumn id="7" xr3:uid="{904DA6E6-FA0F-42AB-B0E5-A24DA227AECA}" name="f_nadir [Hz]"/>
    <tableColumn id="8" xr3:uid="{ADF88B58-B7D0-42A5-BE96-FB49B4C470D6}" name="f_zenith [Hz]"/>
    <tableColumn id="9" xr3:uid="{5534D253-20D5-40E5-967B-DA3EC1C55FBD}" name="ROCOF_max [Hz/s]"/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A90C858-96B6-4650-BE57-BFF03380F2E7}" name="Tabla7910" displayName="Tabla7910" ref="K1:M2" totalsRowShown="0" headerRowCellStyle="Normal" dataCellStyle="Normal">
  <autoFilter ref="K1:M2" xr:uid="{7A90C858-96B6-4650-BE57-BFF03380F2E7}"/>
  <tableColumns count="3">
    <tableColumn id="1" xr3:uid="{84FFC25A-7A20-42BE-9A1F-6C478DBB477F}" name="Total de barras" dataCellStyle="Normal"/>
    <tableColumn id="2" xr3:uid="{205EADBB-7E87-48AE-AC9C-78C7597DA2C0}" name="Barras dentro de banda" dataCellStyle="Normal">
      <calculatedColumnFormula>COUNTIFS(G2:G5,"&gt;=49,5",H2:H5,"&lt;=50,5")</calculatedColumnFormula>
    </tableColumn>
    <tableColumn id="3" xr3:uid="{9895A657-BD98-46E0-9BD6-39CEFB0BF1EF}" name="Porcentaje dentro" dataCellStyle="Porcentaje">
      <calculatedColumnFormula>L2/K2</calculatedColumnFormula>
    </tableColumn>
  </tableColumns>
  <tableStyleInfo name="TableStyleMedium2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0D68C95-E397-4B8F-982F-701A07B8A241}" name="Tabla4" displayName="Tabla4" ref="A1:I5" totalsRowShown="0" headerRowDxfId="7" headerRowBorderDxfId="6" tableBorderDxfId="5">
  <autoFilter ref="A1:I5" xr:uid="{E0D68C95-E397-4B8F-982F-701A07B8A241}"/>
  <tableColumns count="9">
    <tableColumn id="1" xr3:uid="{C201503A-19AE-4339-B5D5-B43B0B1649F6}" name="Barra" dataDxfId="4"/>
    <tableColumn id="2" xr3:uid="{C340EDF8-5F58-4EE5-8B29-821EFC464CE3}" name="V_min [pu]"/>
    <tableColumn id="3" xr3:uid="{DB2A68FE-B036-465A-8B23-AA4AD9D45A52}" name="V_max [pu]"/>
    <tableColumn id="4" xr3:uid="{051C06C0-A78C-44FF-BE81-231C325D4EE6}" name="V_mean [pu]"/>
    <tableColumn id="5" xr3:uid="{86009E55-889B-4271-8AB4-4A8B5527C542}" name="f_min [Hz]"/>
    <tableColumn id="6" xr3:uid="{A66A91D6-4D37-4559-AFEB-9BEC7D4D31A3}" name="f_max [Hz]"/>
    <tableColumn id="7" xr3:uid="{DC7AF999-1EEE-4C9A-935D-23F47102C850}" name="f_nadir [Hz]"/>
    <tableColumn id="8" xr3:uid="{6A8675F1-D995-4F3E-A6BE-FE9BF3184FDD}" name="f_zenith [Hz]"/>
    <tableColumn id="9" xr3:uid="{684752EA-5DA1-4566-A49F-616FBDB8603E}" name="ROCOF_max [Hz/s]"/>
  </tableColumns>
  <tableStyleInfo name="TableStyleMedium2"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F08EDB2-7680-472B-A7A1-B0B3BB55F1D1}" name="Tabla7911" displayName="Tabla7911" ref="K1:M2" totalsRowShown="0" headerRowCellStyle="Normal" dataCellStyle="Normal">
  <autoFilter ref="K1:M2" xr:uid="{2F08EDB2-7680-472B-A7A1-B0B3BB55F1D1}"/>
  <tableColumns count="3">
    <tableColumn id="1" xr3:uid="{50975588-E4CB-4443-9840-23D8EEC9273E}" name="Total de barras" dataCellStyle="Normal"/>
    <tableColumn id="2" xr3:uid="{53FDCD5F-1F02-4817-AEEB-EA8FDC79EA7F}" name="Barras dentro de banda" dataCellStyle="Normal">
      <calculatedColumnFormula>COUNTIFS(G2:G5,"&gt;=49,5",H2:H5,"&lt;=50,5")</calculatedColumnFormula>
    </tableColumn>
    <tableColumn id="3" xr3:uid="{88452A22-2D0D-442B-961B-5465897FB75C}" name="Porcentaje dentro" dataCellStyle="Porcentaje">
      <calculatedColumnFormula>L2/K2</calculatedColumnFormula>
    </tableColumn>
  </tableColumns>
  <tableStyleInfo name="TableStyleMedium2" showFirstColumn="0" showLastColumn="0" showRowStripes="0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28C8295-CDBB-4749-B70A-9C89A7D0E4D1}" name="Tabla5" displayName="Tabla5" ref="A1:I5" totalsRowShown="0" headerRowDxfId="3" headerRowBorderDxfId="2" tableBorderDxfId="1">
  <autoFilter ref="A1:I5" xr:uid="{728C8295-CDBB-4749-B70A-9C89A7D0E4D1}"/>
  <tableColumns count="9">
    <tableColumn id="1" xr3:uid="{530DF855-DFFF-483B-BB49-5C0F5A17004B}" name="Barra" dataDxfId="0"/>
    <tableColumn id="2" xr3:uid="{165C1036-A62E-4E4A-9FE3-C4AB1FAB7E18}" name="V_min [pu]"/>
    <tableColumn id="3" xr3:uid="{6E2D31B8-A5D7-4977-A5CD-72697489DF4B}" name="V_max [pu]"/>
    <tableColumn id="4" xr3:uid="{E6ACE5F6-B2F3-485B-912D-491F489B89C1}" name="V_mean [pu]"/>
    <tableColumn id="5" xr3:uid="{BDE882EE-7249-482E-B302-726672E9649B}" name="f_min [Hz]"/>
    <tableColumn id="6" xr3:uid="{D2E037B0-04A7-4365-B11F-87852B61B901}" name="f_max [Hz]"/>
    <tableColumn id="7" xr3:uid="{0FA80073-36E4-4978-BC28-C7CA58AD24ED}" name="f_nadir [Hz]"/>
    <tableColumn id="8" xr3:uid="{FD716E00-CF4D-4F50-9E78-BCC3CAA1AFD6}" name="f_zenith [Hz]"/>
    <tableColumn id="9" xr3:uid="{2F42C07F-0A92-4444-9E00-E5AF58BDDD48}" name="ROCOF_max [Hz/s]"/>
  </tableColumns>
  <tableStyleInfo name="TableStyleMedium2" showFirstColumn="0" showLastColumn="0" showRowStripes="0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8E54D58-A1CA-421D-9F86-691C2D53AD47}" name="Tabla7912" displayName="Tabla7912" ref="K1:M2" totalsRowShown="0" headerRowCellStyle="Normal" dataCellStyle="Normal">
  <autoFilter ref="K1:M2" xr:uid="{58E54D58-A1CA-421D-9F86-691C2D53AD47}"/>
  <tableColumns count="3">
    <tableColumn id="1" xr3:uid="{82B0CD25-3F1C-4D14-9ACF-5B89A7530294}" name="Total de barras" dataCellStyle="Normal"/>
    <tableColumn id="2" xr3:uid="{1791837B-515D-4A5F-9CA5-26234A1D5D41}" name="Barras dentro de banda" dataCellStyle="Normal">
      <calculatedColumnFormula>COUNTIFS(G2:G5,"&gt;=49,5",H2:H5,"&lt;=50,5")</calculatedColumnFormula>
    </tableColumn>
    <tableColumn id="3" xr3:uid="{A60DFE08-658E-484C-8AC1-7EDE35912C06}" name="Porcentaje dentro" dataCellStyle="Porcentaje">
      <calculatedColumnFormula>L2/K2</calculatedColumnFormula>
    </tableColumn>
  </tableColumns>
  <tableStyleInfo name="TableStyleMedium2" showFirstColumn="0" showLastColumn="0" showRowStripes="0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45D0D3A-6ED7-4C6B-ACF0-C66CFC18BA93}" name="Tabla6" displayName="Tabla6" ref="A1:I5" totalsRowShown="0" headerRowDxfId="23" headerRowBorderDxfId="22" tableBorderDxfId="21">
  <autoFilter ref="A1:I5" xr:uid="{445D0D3A-6ED7-4C6B-ACF0-C66CFC18BA93}"/>
  <tableColumns count="9">
    <tableColumn id="1" xr3:uid="{1FE790DD-43DA-40AE-B70F-76C0F0E381B6}" name="Barra" dataDxfId="20"/>
    <tableColumn id="2" xr3:uid="{5701EBAF-064E-4BA1-8886-F43AE4D39530}" name="V_min [pu]"/>
    <tableColumn id="3" xr3:uid="{F857D453-8B02-4B4B-844E-9D26BBF93514}" name="V_max [pu]"/>
    <tableColumn id="4" xr3:uid="{ECFEC537-7958-445C-BCA1-2C56ABDEFA9A}" name="V_mean [pu]"/>
    <tableColumn id="5" xr3:uid="{363E87B0-1044-47C4-9152-38922A488911}" name="f_min [Hz]"/>
    <tableColumn id="6" xr3:uid="{0932E75A-CE0D-4F26-9BD0-746B689E8634}" name="f_max [Hz]"/>
    <tableColumn id="7" xr3:uid="{7779316A-E93C-4294-92ED-9F037B19A519}" name="f_nadir [Hz]"/>
    <tableColumn id="8" xr3:uid="{FAD4B92A-F9E2-4931-89A8-351DB461A8E2}" name="f_zenith [Hz]"/>
    <tableColumn id="9" xr3:uid="{2DF30AC8-3787-4C71-A3F5-4A6B7188FF25}" name="ROCOF_max [Hz/s]"/>
  </tableColumns>
  <tableStyleInfo name="TableStyleMedium2" showFirstColumn="0" showLastColumn="0" showRowStripes="0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4FD2013-25C0-48AA-9094-D6BB277FF486}" name="Tabla7913" displayName="Tabla7913" ref="K1:M2" totalsRowShown="0" headerRowCellStyle="Normal" dataCellStyle="Normal">
  <autoFilter ref="K1:M2" xr:uid="{D4FD2013-25C0-48AA-9094-D6BB277FF486}"/>
  <tableColumns count="3">
    <tableColumn id="1" xr3:uid="{A0D72408-988C-43E8-A200-2B24729A28A1}" name="Total de barras" dataCellStyle="Normal"/>
    <tableColumn id="2" xr3:uid="{495CEC98-9EE7-470C-B7B9-D26D5F02170A}" name="Barras dentro de banda" dataCellStyle="Normal">
      <calculatedColumnFormula>COUNTIFS(G2:G5,"&gt;=49,5",H2:H5,"&lt;=50,5")</calculatedColumnFormula>
    </tableColumn>
    <tableColumn id="3" xr3:uid="{7FAF3B9F-DF65-4781-A6DD-15062B24B420}" name="Porcentaje dentro" dataCellStyle="Porcentaje">
      <calculatedColumnFormula>L2/K2</calculatedColumnFormula>
    </tableColumn>
  </tableColumns>
  <tableStyleInfo name="TableStyleMedium2" showFirstColumn="0" showLastColumn="0" showRowStripes="0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C04386F-E97C-4D7C-8FC5-E0D5DF349046}" name="Tabla13" displayName="Tabla13" ref="C3:J9" totalsRowShown="0" headerRowCellStyle="Normal" dataCellStyle="Normal">
  <autoFilter ref="C3:J9" xr:uid="{DC04386F-E97C-4D7C-8FC5-E0D5DF349046}"/>
  <tableColumns count="8">
    <tableColumn id="1" xr3:uid="{3A9645B1-D6B4-4752-89A7-FF4DCD3F177B}" name="Escenario" dataCellStyle="Normal"/>
    <tableColumn id="2" xr3:uid="{EEE7FE8A-F06D-47AA-BF0F-4E44A9448243}" name="V_min [pu]" dataCellStyle="Normal"/>
    <tableColumn id="3" xr3:uid="{FC2F9F53-FBE0-4F4B-BC12-BD5A8F8B5D1C}" name="V_max [pu]" dataCellStyle="Normal"/>
    <tableColumn id="4" xr3:uid="{4C67F94C-61C8-4017-B59A-8F8A531A0F66}" name="V_mean [pu]" dataCellStyle="Normal"/>
    <tableColumn id="7" xr3:uid="{F52E2816-588D-4F20-A9FC-67428255CAB8}" name="f_nadir [Hz]" dataCellStyle="Normal"/>
    <tableColumn id="8" xr3:uid="{C4DF5744-8F9D-49F2-8699-1F37579F6046}" name="f_zenith [Hz]" dataCellStyle="Normal"/>
    <tableColumn id="9" xr3:uid="{FB34098A-38B4-4964-91A4-CF07D2BCF0C2}" name="ROCOF_max [Hz/s]" dataCellStyle="Normal"/>
    <tableColumn id="10" xr3:uid="{623D9400-52DC-4AE8-AB17-7D93C6A2B585}" name="Barras dentro de banda frecuencia [%]" dataCellStyle="Porcentaj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F9D8E-BB86-4359-94EA-69D5B9CFF2BA}">
  <dimension ref="A1:M8"/>
  <sheetViews>
    <sheetView workbookViewId="0">
      <selection activeCell="K1" sqref="K1:M2"/>
    </sheetView>
  </sheetViews>
  <sheetFormatPr baseColWidth="10" defaultRowHeight="15" x14ac:dyDescent="0.25"/>
  <cols>
    <col min="1" max="1" width="17.140625" bestFit="1" customWidth="1"/>
    <col min="2" max="2" width="14.85546875" bestFit="1" customWidth="1"/>
    <col min="3" max="3" width="15.28515625" bestFit="1" customWidth="1"/>
    <col min="4" max="4" width="16.42578125" bestFit="1" customWidth="1"/>
    <col min="5" max="5" width="14.140625" bestFit="1" customWidth="1"/>
    <col min="6" max="6" width="14.42578125" bestFit="1" customWidth="1"/>
    <col min="7" max="7" width="15.28515625" bestFit="1" customWidth="1"/>
    <col min="8" max="8" width="16" bestFit="1" customWidth="1"/>
    <col min="9" max="9" width="21.28515625" bestFit="1" customWidth="1"/>
  </cols>
  <sheetData>
    <row r="1" spans="1:13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K1" t="s">
        <v>22</v>
      </c>
      <c r="L1" t="s">
        <v>23</v>
      </c>
      <c r="M1" t="s">
        <v>24</v>
      </c>
    </row>
    <row r="2" spans="1:13" x14ac:dyDescent="0.25">
      <c r="A2" s="1" t="s">
        <v>9</v>
      </c>
      <c r="B2">
        <v>0.1245</v>
      </c>
      <c r="C2">
        <v>0.98460000000000003</v>
      </c>
      <c r="D2">
        <v>0.95709376066292962</v>
      </c>
      <c r="E2">
        <v>49.868899999999996</v>
      </c>
      <c r="F2">
        <v>50.287199999999999</v>
      </c>
      <c r="G2">
        <v>49.868899999999996</v>
      </c>
      <c r="H2">
        <v>50.287199999999999</v>
      </c>
      <c r="I2">
        <v>0.38449700216565741</v>
      </c>
      <c r="K2">
        <v>4</v>
      </c>
      <c r="L2">
        <f>COUNTIFS(G2:G5,"&gt;=49,5",H2:H5,"&lt;=50,5")</f>
        <v>4</v>
      </c>
      <c r="M2" s="5">
        <f>L2/K2</f>
        <v>1</v>
      </c>
    </row>
    <row r="3" spans="1:13" x14ac:dyDescent="0.25">
      <c r="A3" s="1" t="s">
        <v>10</v>
      </c>
      <c r="B3">
        <v>0.35310000000000002</v>
      </c>
      <c r="C3">
        <v>0.99450000000000005</v>
      </c>
      <c r="D3">
        <v>0.97330987082622478</v>
      </c>
      <c r="E3">
        <v>49.9251</v>
      </c>
      <c r="F3">
        <v>50.181100000000001</v>
      </c>
      <c r="G3">
        <v>49.9251</v>
      </c>
      <c r="H3">
        <v>50.181100000000001</v>
      </c>
      <c r="I3">
        <v>0.24368065016191151</v>
      </c>
    </row>
    <row r="4" spans="1:13" x14ac:dyDescent="0.25">
      <c r="A4" s="1" t="s">
        <v>11</v>
      </c>
      <c r="B4">
        <v>0.11749999999999999</v>
      </c>
      <c r="C4">
        <v>0.97299999999999998</v>
      </c>
      <c r="D4">
        <v>0.94597694369973195</v>
      </c>
      <c r="E4">
        <v>49.8904</v>
      </c>
      <c r="F4">
        <v>50.334099999999999</v>
      </c>
      <c r="G4">
        <v>49.8904</v>
      </c>
      <c r="H4">
        <v>50.334099999999999</v>
      </c>
      <c r="I4">
        <v>0.40225904845466037</v>
      </c>
    </row>
    <row r="5" spans="1:13" x14ac:dyDescent="0.25">
      <c r="A5" s="1" t="s">
        <v>12</v>
      </c>
      <c r="B5">
        <v>0.95799999999999996</v>
      </c>
      <c r="C5">
        <v>1.0620000000000001</v>
      </c>
      <c r="D5">
        <v>1.0472776748720449</v>
      </c>
      <c r="E5">
        <v>49.975999999999999</v>
      </c>
      <c r="F5">
        <v>50.057099999999998</v>
      </c>
      <c r="G5">
        <v>49.975999999999999</v>
      </c>
      <c r="H5">
        <v>50.057099999999998</v>
      </c>
      <c r="I5">
        <v>-0.1079976143330921</v>
      </c>
    </row>
    <row r="8" spans="1:13" x14ac:dyDescent="0.25">
      <c r="A8" t="s">
        <v>13</v>
      </c>
      <c r="B8" s="4">
        <f>MIN(Tabla1[V_min '[pu']])</f>
        <v>0.11749999999999999</v>
      </c>
      <c r="C8" s="4">
        <f>MAX(Tabla1[V_max '[pu']])</f>
        <v>1.0620000000000001</v>
      </c>
      <c r="D8" s="4">
        <f>AVERAGE(Tabla1[V_mean '[pu']])</f>
        <v>0.9809145625152329</v>
      </c>
      <c r="E8" s="4">
        <f>MIN(Tabla1[f_min '[Hz']])</f>
        <v>49.868899999999996</v>
      </c>
      <c r="F8" s="4">
        <f>MAX(Tabla1[f_max '[Hz']])</f>
        <v>50.334099999999999</v>
      </c>
      <c r="G8" s="4">
        <f>MIN(Tabla1[f_nadir '[Hz']])</f>
        <v>49.868899999999996</v>
      </c>
      <c r="H8" s="4">
        <f>MAX(Tabla1[f_zenith '[Hz']])</f>
        <v>50.334099999999999</v>
      </c>
      <c r="I8" s="4" cm="1">
        <f t="array" ref="I8">_xlfn.XLOOKUP(MAX(ABS(Tabla1[ROCOF_max '[Hz/s']])),ABS(Tabla1[ROCOF_max '[Hz/s']]),Tabla1[ROCOF_max '[Hz/s']])</f>
        <v>0.40225904845466037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BE581-1B80-4FFE-910E-E26317C5E08E}">
  <dimension ref="A1:M8"/>
  <sheetViews>
    <sheetView workbookViewId="0">
      <selection activeCell="K1" sqref="K1:M2"/>
    </sheetView>
  </sheetViews>
  <sheetFormatPr baseColWidth="10" defaultRowHeight="15" x14ac:dyDescent="0.25"/>
  <cols>
    <col min="1" max="1" width="17.140625" bestFit="1" customWidth="1"/>
    <col min="2" max="2" width="14.85546875" bestFit="1" customWidth="1"/>
    <col min="3" max="3" width="15.28515625" bestFit="1" customWidth="1"/>
    <col min="4" max="4" width="16.42578125" bestFit="1" customWidth="1"/>
    <col min="5" max="5" width="14.140625" bestFit="1" customWidth="1"/>
    <col min="6" max="6" width="14.42578125" bestFit="1" customWidth="1"/>
    <col min="7" max="7" width="15.28515625" bestFit="1" customWidth="1"/>
    <col min="8" max="8" width="16" bestFit="1" customWidth="1"/>
    <col min="9" max="9" width="21.28515625" bestFit="1" customWidth="1"/>
  </cols>
  <sheetData>
    <row r="1" spans="1:13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K1" t="s">
        <v>22</v>
      </c>
      <c r="L1" t="s">
        <v>23</v>
      </c>
      <c r="M1" t="s">
        <v>24</v>
      </c>
    </row>
    <row r="2" spans="1:13" x14ac:dyDescent="0.25">
      <c r="A2" s="1" t="s">
        <v>9</v>
      </c>
      <c r="B2">
        <v>0.1249</v>
      </c>
      <c r="C2">
        <v>0.98509999999999998</v>
      </c>
      <c r="D2">
        <v>0.95802888130636132</v>
      </c>
      <c r="E2">
        <v>49.900399999999998</v>
      </c>
      <c r="F2">
        <v>50.247799999999998</v>
      </c>
      <c r="G2">
        <v>49.900399999999998</v>
      </c>
      <c r="H2">
        <v>50.247799999999998</v>
      </c>
      <c r="I2">
        <v>0.33216145867526908</v>
      </c>
      <c r="K2">
        <v>4</v>
      </c>
      <c r="L2">
        <f>COUNTIFS(G2:G5,"&gt;=49,5",H2:H5,"&lt;=50,5")</f>
        <v>4</v>
      </c>
      <c r="M2" s="5">
        <f>L2/K2</f>
        <v>1</v>
      </c>
    </row>
    <row r="3" spans="1:13" x14ac:dyDescent="0.25">
      <c r="A3" s="1" t="s">
        <v>10</v>
      </c>
      <c r="B3">
        <v>0.35199999999999998</v>
      </c>
      <c r="C3">
        <v>0.995</v>
      </c>
      <c r="D3">
        <v>0.97394274920789681</v>
      </c>
      <c r="E3">
        <v>49.942900000000002</v>
      </c>
      <c r="F3">
        <v>50.156500000000001</v>
      </c>
      <c r="G3">
        <v>49.942900000000002</v>
      </c>
      <c r="H3">
        <v>50.156500000000001</v>
      </c>
      <c r="I3">
        <v>0.21819631306348591</v>
      </c>
    </row>
    <row r="4" spans="1:13" x14ac:dyDescent="0.25">
      <c r="A4" s="1" t="s">
        <v>11</v>
      </c>
      <c r="B4">
        <v>0.1171</v>
      </c>
      <c r="C4">
        <v>0.97299999999999998</v>
      </c>
      <c r="D4">
        <v>0.94679307823543757</v>
      </c>
      <c r="E4">
        <v>49.916200000000003</v>
      </c>
      <c r="F4">
        <v>50.289000000000001</v>
      </c>
      <c r="G4">
        <v>49.916200000000003</v>
      </c>
      <c r="H4">
        <v>50.289000000000001</v>
      </c>
      <c r="I4">
        <v>0.34943491955063039</v>
      </c>
    </row>
    <row r="5" spans="1:13" x14ac:dyDescent="0.25">
      <c r="A5" s="1" t="s">
        <v>12</v>
      </c>
      <c r="B5">
        <v>0.95779999999999998</v>
      </c>
      <c r="C5">
        <v>1.0619000000000001</v>
      </c>
      <c r="D5">
        <v>1.047307287350719</v>
      </c>
      <c r="E5">
        <v>49.978000000000002</v>
      </c>
      <c r="F5">
        <v>50.056800000000003</v>
      </c>
      <c r="G5">
        <v>49.978000000000002</v>
      </c>
      <c r="H5">
        <v>50.056800000000003</v>
      </c>
      <c r="I5">
        <v>-0.1071230953194941</v>
      </c>
    </row>
    <row r="8" spans="1:13" x14ac:dyDescent="0.25">
      <c r="B8" s="4">
        <f>MIN(Tabla2[V_min '[pu']])</f>
        <v>0.1171</v>
      </c>
      <c r="C8" s="4">
        <f>MAX(Tabla2[V_max '[pu']])</f>
        <v>1.0619000000000001</v>
      </c>
      <c r="D8" s="4">
        <f>AVERAGE(Tabla2[V_mean '[pu']])</f>
        <v>0.98151799902510373</v>
      </c>
      <c r="E8" s="4">
        <f>MIN(Tabla2[f_min '[Hz']])</f>
        <v>49.900399999999998</v>
      </c>
      <c r="F8" s="4">
        <f>MAX(Tabla2[f_max '[Hz']])</f>
        <v>50.289000000000001</v>
      </c>
      <c r="G8" s="4">
        <f>MIN(Tabla2[f_nadir '[Hz']])</f>
        <v>49.900399999999998</v>
      </c>
      <c r="H8" s="4">
        <f>MAX(Tabla2[f_zenith '[Hz']])</f>
        <v>50.289000000000001</v>
      </c>
      <c r="I8" s="4" cm="1">
        <f t="array" ref="I8">_xlfn.XLOOKUP(MAX(ABS(Tabla2[ROCOF_max '[Hz/s']])),ABS(Tabla2[ROCOF_max '[Hz/s']]),Tabla2[ROCOF_max '[Hz/s']])</f>
        <v>0.34943491955063039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B8631-127E-4E4D-B364-5F60D67B269C}">
  <dimension ref="A1:M8"/>
  <sheetViews>
    <sheetView workbookViewId="0">
      <selection activeCell="L2" sqref="L2"/>
    </sheetView>
  </sheetViews>
  <sheetFormatPr baseColWidth="10" defaultRowHeight="15" x14ac:dyDescent="0.25"/>
  <cols>
    <col min="1" max="1" width="17.140625" bestFit="1" customWidth="1"/>
    <col min="2" max="2" width="14.85546875" bestFit="1" customWidth="1"/>
    <col min="3" max="3" width="15.28515625" bestFit="1" customWidth="1"/>
    <col min="4" max="4" width="16.42578125" bestFit="1" customWidth="1"/>
    <col min="5" max="5" width="14.140625" bestFit="1" customWidth="1"/>
    <col min="6" max="6" width="14.42578125" bestFit="1" customWidth="1"/>
    <col min="7" max="7" width="15.28515625" bestFit="1" customWidth="1"/>
    <col min="8" max="8" width="16" bestFit="1" customWidth="1"/>
    <col min="9" max="9" width="21.28515625" bestFit="1" customWidth="1"/>
  </cols>
  <sheetData>
    <row r="1" spans="1:13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K1" t="s">
        <v>22</v>
      </c>
      <c r="L1" t="s">
        <v>23</v>
      </c>
      <c r="M1" t="s">
        <v>24</v>
      </c>
    </row>
    <row r="2" spans="1:13" x14ac:dyDescent="0.25">
      <c r="A2" s="1" t="s">
        <v>9</v>
      </c>
      <c r="B2">
        <v>0.12509999999999999</v>
      </c>
      <c r="C2">
        <v>0.9849</v>
      </c>
      <c r="D2">
        <v>0.95852522544479668</v>
      </c>
      <c r="E2">
        <v>49.914999999999999</v>
      </c>
      <c r="F2">
        <v>50.226399999999998</v>
      </c>
      <c r="G2">
        <v>49.914999999999999</v>
      </c>
      <c r="H2">
        <v>50.226399999999998</v>
      </c>
      <c r="I2">
        <v>0.30637743066227702</v>
      </c>
      <c r="K2">
        <v>4</v>
      </c>
      <c r="L2">
        <f>COUNTIFS(G2:G5,"&gt;=49,5",H2:H5,"&lt;=50,5")</f>
        <v>4</v>
      </c>
      <c r="M2" s="5">
        <f>L2/K2</f>
        <v>1</v>
      </c>
    </row>
    <row r="3" spans="1:13" x14ac:dyDescent="0.25">
      <c r="A3" s="1" t="s">
        <v>10</v>
      </c>
      <c r="B3">
        <v>0.35160000000000002</v>
      </c>
      <c r="C3">
        <v>0.99490000000000001</v>
      </c>
      <c r="D3">
        <v>0.97427938094077515</v>
      </c>
      <c r="E3">
        <v>49.951000000000001</v>
      </c>
      <c r="F3">
        <v>50.142099999999999</v>
      </c>
      <c r="G3">
        <v>49.951000000000001</v>
      </c>
      <c r="H3">
        <v>50.142099999999999</v>
      </c>
      <c r="I3">
        <v>-0.20423880496811669</v>
      </c>
    </row>
    <row r="4" spans="1:13" x14ac:dyDescent="0.25">
      <c r="A4" s="1" t="s">
        <v>11</v>
      </c>
      <c r="B4">
        <v>0.11700000000000001</v>
      </c>
      <c r="C4">
        <v>0.97299999999999998</v>
      </c>
      <c r="D4">
        <v>0.94722330002437261</v>
      </c>
      <c r="E4">
        <v>49.928199999999997</v>
      </c>
      <c r="F4">
        <v>50.262900000000002</v>
      </c>
      <c r="G4">
        <v>49.928199999999997</v>
      </c>
      <c r="H4">
        <v>50.262900000000002</v>
      </c>
      <c r="I4">
        <v>-0.32369804705584859</v>
      </c>
    </row>
    <row r="5" spans="1:13" x14ac:dyDescent="0.25">
      <c r="A5" s="1" t="s">
        <v>12</v>
      </c>
      <c r="B5">
        <v>0.9577</v>
      </c>
      <c r="C5">
        <v>1.0620000000000001</v>
      </c>
      <c r="D5">
        <v>1.0473236412381179</v>
      </c>
      <c r="E5">
        <v>49.9788</v>
      </c>
      <c r="F5">
        <v>50.056600000000003</v>
      </c>
      <c r="G5">
        <v>49.9788</v>
      </c>
      <c r="H5">
        <v>50.056600000000003</v>
      </c>
      <c r="I5">
        <v>-0.1097377790902804</v>
      </c>
    </row>
    <row r="8" spans="1:13" x14ac:dyDescent="0.25">
      <c r="B8" s="4">
        <f>MIN(Tabla3[V_min '[pu']])</f>
        <v>0.11700000000000001</v>
      </c>
      <c r="C8" s="4">
        <f>MAX(Tabla3[V_max '[pu']])</f>
        <v>1.0620000000000001</v>
      </c>
      <c r="D8" s="4">
        <f>AVERAGE(Tabla3[V_mean '[pu']])</f>
        <v>0.98183788691201568</v>
      </c>
      <c r="E8" s="4">
        <f>MIN(Tabla3[f_min '[Hz']])</f>
        <v>49.914999999999999</v>
      </c>
      <c r="F8" s="4">
        <f>MAX(Tabla3[f_max '[Hz']])</f>
        <v>50.262900000000002</v>
      </c>
      <c r="G8" s="4">
        <f>MIN(Tabla3[f_nadir '[Hz']])</f>
        <v>49.914999999999999</v>
      </c>
      <c r="H8" s="4">
        <f>MAX(Tabla3[f_zenith '[Hz']])</f>
        <v>50.262900000000002</v>
      </c>
      <c r="I8" s="4" cm="1">
        <f t="array" ref="I8">_xlfn.XLOOKUP(MAX(ABS(Tabla3[ROCOF_max '[Hz/s']])),ABS(Tabla3[ROCOF_max '[Hz/s']]),Tabla3[ROCOF_max '[Hz/s']])</f>
        <v>-0.32369804705584859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F5786-4817-45B8-9848-0BB173E6FCB2}">
  <dimension ref="A1:M8"/>
  <sheetViews>
    <sheetView workbookViewId="0">
      <selection activeCell="K1" sqref="K1:M2"/>
    </sheetView>
  </sheetViews>
  <sheetFormatPr baseColWidth="10" defaultRowHeight="15" x14ac:dyDescent="0.25"/>
  <cols>
    <col min="1" max="1" width="17.140625" bestFit="1" customWidth="1"/>
    <col min="2" max="2" width="14.85546875" bestFit="1" customWidth="1"/>
    <col min="3" max="3" width="15.28515625" bestFit="1" customWidth="1"/>
    <col min="4" max="4" width="16.42578125" bestFit="1" customWidth="1"/>
    <col min="5" max="5" width="14.140625" bestFit="1" customWidth="1"/>
    <col min="6" max="6" width="14.42578125" bestFit="1" customWidth="1"/>
    <col min="7" max="7" width="15.28515625" bestFit="1" customWidth="1"/>
    <col min="8" max="8" width="16" bestFit="1" customWidth="1"/>
    <col min="9" max="9" width="21.28515625" bestFit="1" customWidth="1"/>
  </cols>
  <sheetData>
    <row r="1" spans="1:13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K1" t="s">
        <v>22</v>
      </c>
      <c r="L1" t="s">
        <v>23</v>
      </c>
      <c r="M1" t="s">
        <v>24</v>
      </c>
    </row>
    <row r="2" spans="1:13" x14ac:dyDescent="0.25">
      <c r="A2" s="1" t="s">
        <v>9</v>
      </c>
      <c r="B2">
        <v>0.12540000000000001</v>
      </c>
      <c r="C2">
        <v>1.0707</v>
      </c>
      <c r="D2">
        <v>1.008462393370704</v>
      </c>
      <c r="E2">
        <v>40.173900000000003</v>
      </c>
      <c r="F2">
        <v>60.085299999999997</v>
      </c>
      <c r="G2">
        <v>40.173900000000003</v>
      </c>
      <c r="H2">
        <v>60.085299999999997</v>
      </c>
      <c r="I2">
        <v>-0.31397203580686001</v>
      </c>
      <c r="K2">
        <v>4</v>
      </c>
      <c r="L2">
        <f>COUNTIFS(G2:G5,"&gt;=49,5",H2:H5,"&lt;=50,5")</f>
        <v>0</v>
      </c>
      <c r="M2" s="5">
        <f>L2/K2</f>
        <v>0</v>
      </c>
    </row>
    <row r="3" spans="1:13" x14ac:dyDescent="0.25">
      <c r="A3" s="1" t="s">
        <v>10</v>
      </c>
      <c r="B3">
        <v>0.35070000000000001</v>
      </c>
      <c r="C3">
        <v>1.0551999999999999</v>
      </c>
      <c r="D3">
        <v>1.0087533512064339</v>
      </c>
      <c r="E3">
        <v>43.3474</v>
      </c>
      <c r="F3">
        <v>56.922400000000003</v>
      </c>
      <c r="G3">
        <v>43.3474</v>
      </c>
      <c r="H3">
        <v>56.922400000000003</v>
      </c>
      <c r="I3">
        <v>-0.2185395369183081</v>
      </c>
    </row>
    <row r="4" spans="1:13" x14ac:dyDescent="0.25">
      <c r="A4" s="1" t="s">
        <v>11</v>
      </c>
      <c r="B4">
        <v>0.1167</v>
      </c>
      <c r="C4">
        <v>1.0476000000000001</v>
      </c>
      <c r="D4">
        <v>0.99066914452839394</v>
      </c>
      <c r="E4">
        <v>41.2913</v>
      </c>
      <c r="F4">
        <v>58.980499999999999</v>
      </c>
      <c r="G4">
        <v>41.2913</v>
      </c>
      <c r="H4">
        <v>58.980499999999999</v>
      </c>
      <c r="I4">
        <v>-0.29232469864601762</v>
      </c>
    </row>
    <row r="5" spans="1:13" x14ac:dyDescent="0.25">
      <c r="A5" s="1" t="s">
        <v>12</v>
      </c>
      <c r="B5">
        <v>0.95750000000000002</v>
      </c>
      <c r="C5">
        <v>1.0681</v>
      </c>
      <c r="D5">
        <v>1.0481975383865461</v>
      </c>
      <c r="E5">
        <v>49.485799999999998</v>
      </c>
      <c r="F5">
        <v>50.612200000000001</v>
      </c>
      <c r="G5">
        <v>49.485799999999998</v>
      </c>
      <c r="H5">
        <v>50.612200000000001</v>
      </c>
      <c r="I5">
        <v>-0.16328083593769691</v>
      </c>
    </row>
    <row r="8" spans="1:13" x14ac:dyDescent="0.25">
      <c r="B8" s="4">
        <f>MIN(Tabla4[V_min '[pu']])</f>
        <v>0.1167</v>
      </c>
      <c r="C8" s="4">
        <f>MAX(Tabla4[V_max '[pu']])</f>
        <v>1.0707</v>
      </c>
      <c r="D8" s="4">
        <f>AVERAGE(Tabla4[V_mean '[pu']])</f>
        <v>1.0140206068730195</v>
      </c>
      <c r="E8" s="4">
        <f>MIN(Tabla4[f_min '[Hz']])</f>
        <v>40.173900000000003</v>
      </c>
      <c r="F8" s="4">
        <f>MAX(Tabla4[f_max '[Hz']])</f>
        <v>60.085299999999997</v>
      </c>
      <c r="G8" s="4">
        <f>MIN(Tabla4[f_nadir '[Hz']])</f>
        <v>40.173900000000003</v>
      </c>
      <c r="H8" s="4">
        <f>MAX(Tabla4[f_zenith '[Hz']])</f>
        <v>60.085299999999997</v>
      </c>
      <c r="I8" s="4" cm="1">
        <f t="array" ref="I8">_xlfn.XLOOKUP(MAX(ABS(Tabla4[ROCOF_max '[Hz/s']])),ABS(Tabla4[ROCOF_max '[Hz/s']]),Tabla4[ROCOF_max '[Hz/s']])</f>
        <v>-0.31397203580686001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AAA17-2C37-43CD-8F2E-7DC8838B7BC3}">
  <dimension ref="A1:M8"/>
  <sheetViews>
    <sheetView workbookViewId="0">
      <selection activeCell="K1" sqref="K1:M2"/>
    </sheetView>
  </sheetViews>
  <sheetFormatPr baseColWidth="10" defaultRowHeight="15" x14ac:dyDescent="0.25"/>
  <cols>
    <col min="1" max="1" width="17.140625" bestFit="1" customWidth="1"/>
    <col min="2" max="2" width="14.85546875" bestFit="1" customWidth="1"/>
    <col min="3" max="3" width="15.28515625" bestFit="1" customWidth="1"/>
    <col min="4" max="4" width="16.42578125" bestFit="1" customWidth="1"/>
    <col min="5" max="5" width="14.140625" bestFit="1" customWidth="1"/>
    <col min="6" max="6" width="14.42578125" bestFit="1" customWidth="1"/>
    <col min="7" max="7" width="15.28515625" bestFit="1" customWidth="1"/>
    <col min="8" max="8" width="16" bestFit="1" customWidth="1"/>
    <col min="9" max="9" width="21.28515625" bestFit="1" customWidth="1"/>
  </cols>
  <sheetData>
    <row r="1" spans="1:13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K1" t="s">
        <v>22</v>
      </c>
      <c r="L1" t="s">
        <v>23</v>
      </c>
      <c r="M1" t="s">
        <v>24</v>
      </c>
    </row>
    <row r="2" spans="1:13" x14ac:dyDescent="0.25">
      <c r="A2" s="1" t="s">
        <v>9</v>
      </c>
      <c r="B2">
        <v>0.12920000000000001</v>
      </c>
      <c r="C2">
        <v>1.1099000000000001</v>
      </c>
      <c r="D2">
        <v>1.0352310260784789</v>
      </c>
      <c r="E2">
        <v>33.5075</v>
      </c>
      <c r="F2">
        <v>52.092700000000001</v>
      </c>
      <c r="G2">
        <v>33.5075</v>
      </c>
      <c r="H2">
        <v>52.092700000000001</v>
      </c>
      <c r="I2">
        <v>-0.72958538761800151</v>
      </c>
      <c r="K2">
        <v>4</v>
      </c>
      <c r="L2">
        <f>COUNTIFS(G2:G5,"&gt;=49,5",H2:H5,"&lt;=50,5")</f>
        <v>0</v>
      </c>
      <c r="M2" s="5">
        <f>L2/K2</f>
        <v>0</v>
      </c>
    </row>
    <row r="3" spans="1:13" x14ac:dyDescent="0.25">
      <c r="A3" s="1" t="s">
        <v>10</v>
      </c>
      <c r="B3">
        <v>0.34810000000000002</v>
      </c>
      <c r="C3">
        <v>1.0834999999999999</v>
      </c>
      <c r="D3">
        <v>1.0272338776504999</v>
      </c>
      <c r="E3">
        <v>38.285499999999999</v>
      </c>
      <c r="F3">
        <v>51.212499999999999</v>
      </c>
      <c r="G3">
        <v>38.285499999999999</v>
      </c>
      <c r="H3">
        <v>51.212499999999999</v>
      </c>
      <c r="I3">
        <v>-0.48220533948775002</v>
      </c>
    </row>
    <row r="4" spans="1:13" x14ac:dyDescent="0.25">
      <c r="A4" s="1" t="s">
        <v>11</v>
      </c>
      <c r="B4">
        <v>0.1169</v>
      </c>
      <c r="C4">
        <v>1.0824</v>
      </c>
      <c r="D4">
        <v>1.0139747258103831</v>
      </c>
      <c r="E4">
        <v>35.191299999999998</v>
      </c>
      <c r="F4">
        <v>51.839300000000001</v>
      </c>
      <c r="G4">
        <v>35.191299999999998</v>
      </c>
      <c r="H4">
        <v>51.839300000000001</v>
      </c>
      <c r="I4">
        <v>-0.64158787082150337</v>
      </c>
    </row>
    <row r="5" spans="1:13" x14ac:dyDescent="0.25">
      <c r="A5" s="1" t="s">
        <v>12</v>
      </c>
      <c r="B5">
        <v>0.95689999999999997</v>
      </c>
      <c r="C5">
        <v>1.0721000000000001</v>
      </c>
      <c r="D5">
        <v>1.048788374360224</v>
      </c>
      <c r="E5">
        <v>49.008600000000001</v>
      </c>
      <c r="F5">
        <v>50.0974</v>
      </c>
      <c r="G5">
        <v>49.008600000000001</v>
      </c>
      <c r="H5">
        <v>50.0974</v>
      </c>
      <c r="I5">
        <v>-0.19198166853544299</v>
      </c>
    </row>
    <row r="8" spans="1:13" x14ac:dyDescent="0.25">
      <c r="B8" s="4">
        <f>MIN(Tabla5[V_min '[pu']])</f>
        <v>0.1169</v>
      </c>
      <c r="C8" s="4">
        <f>MAX(Tabla5[V_max '[pu']])</f>
        <v>1.1099000000000001</v>
      </c>
      <c r="D8" s="4">
        <f>AVERAGE(Tabla5[V_mean '[pu']])</f>
        <v>1.0313070009748966</v>
      </c>
      <c r="E8" s="4">
        <f>MIN(Tabla5[f_min '[Hz']])</f>
        <v>33.5075</v>
      </c>
      <c r="F8" s="4">
        <f>MAX(Tabla5[f_max '[Hz']])</f>
        <v>52.092700000000001</v>
      </c>
      <c r="G8" s="4">
        <f>MIN(Tabla5[f_nadir '[Hz']])</f>
        <v>33.5075</v>
      </c>
      <c r="H8" s="4">
        <f>MAX(Tabla5[f_zenith '[Hz']])</f>
        <v>52.092700000000001</v>
      </c>
      <c r="I8" s="4" cm="1">
        <f t="array" ref="I8">_xlfn.XLOOKUP(MAX(ABS(Tabla5[ROCOF_max '[Hz/s']])),ABS(Tabla5[ROCOF_max '[Hz/s']]),Tabla5[ROCOF_max '[Hz/s']])</f>
        <v>-0.72958538761800151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95831-0079-4A03-BB14-F7242C85F8E5}">
  <dimension ref="A1:M8"/>
  <sheetViews>
    <sheetView workbookViewId="0">
      <selection activeCell="L6" sqref="L6"/>
    </sheetView>
  </sheetViews>
  <sheetFormatPr baseColWidth="10" defaultRowHeight="15" x14ac:dyDescent="0.25"/>
  <cols>
    <col min="1" max="1" width="17.140625" bestFit="1" customWidth="1"/>
    <col min="2" max="2" width="14.85546875" bestFit="1" customWidth="1"/>
    <col min="3" max="3" width="15.28515625" bestFit="1" customWidth="1"/>
    <col min="4" max="4" width="16.42578125" bestFit="1" customWidth="1"/>
    <col min="5" max="5" width="14.140625" bestFit="1" customWidth="1"/>
    <col min="6" max="6" width="14.42578125" bestFit="1" customWidth="1"/>
    <col min="7" max="7" width="15.28515625" bestFit="1" customWidth="1"/>
    <col min="8" max="8" width="16" bestFit="1" customWidth="1"/>
    <col min="9" max="9" width="21.28515625" bestFit="1" customWidth="1"/>
  </cols>
  <sheetData>
    <row r="1" spans="1:13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K1" t="s">
        <v>22</v>
      </c>
      <c r="L1" t="s">
        <v>23</v>
      </c>
      <c r="M1" t="s">
        <v>24</v>
      </c>
    </row>
    <row r="2" spans="1:13" x14ac:dyDescent="0.25">
      <c r="A2" s="1" t="s">
        <v>9</v>
      </c>
      <c r="B2">
        <v>0.14879999999999999</v>
      </c>
      <c r="C2">
        <v>0.98</v>
      </c>
      <c r="D2">
        <v>0.90294070192542053</v>
      </c>
      <c r="E2">
        <v>49.9756</v>
      </c>
      <c r="F2">
        <v>50.055500000000002</v>
      </c>
      <c r="G2">
        <v>49.9756</v>
      </c>
      <c r="H2">
        <v>50.055500000000002</v>
      </c>
      <c r="I2">
        <v>0.11673692748303641</v>
      </c>
      <c r="K2">
        <v>4</v>
      </c>
      <c r="L2">
        <f>COUNTIFS(G2:G5,"&gt;=49,5",H2:H5,"&lt;=50,5")</f>
        <v>4</v>
      </c>
      <c r="M2" s="5">
        <f>L2/K2</f>
        <v>1</v>
      </c>
    </row>
    <row r="3" spans="1:13" x14ac:dyDescent="0.25">
      <c r="A3" s="1" t="s">
        <v>10</v>
      </c>
      <c r="B3">
        <v>0.35949999999999999</v>
      </c>
      <c r="C3">
        <v>0.99</v>
      </c>
      <c r="D3">
        <v>0.9360732390933465</v>
      </c>
      <c r="E3">
        <v>50</v>
      </c>
      <c r="F3">
        <v>50.068600000000004</v>
      </c>
      <c r="G3">
        <v>50</v>
      </c>
      <c r="H3">
        <v>50.068600000000004</v>
      </c>
      <c r="I3">
        <v>0.1312189199241226</v>
      </c>
    </row>
    <row r="4" spans="1:13" x14ac:dyDescent="0.25">
      <c r="A4" s="1" t="s">
        <v>11</v>
      </c>
      <c r="B4">
        <v>0.13059999999999999</v>
      </c>
      <c r="C4">
        <v>0.97319999999999995</v>
      </c>
      <c r="D4">
        <v>0.89860999268827679</v>
      </c>
      <c r="E4">
        <v>49.981999999999999</v>
      </c>
      <c r="F4">
        <v>50.054000000000002</v>
      </c>
      <c r="G4">
        <v>49.981999999999999</v>
      </c>
      <c r="H4">
        <v>50.054000000000002</v>
      </c>
      <c r="I4">
        <v>0.1061769650435847</v>
      </c>
    </row>
    <row r="5" spans="1:13" x14ac:dyDescent="0.25">
      <c r="A5" s="1" t="s">
        <v>12</v>
      </c>
      <c r="B5">
        <v>0.95809999999999995</v>
      </c>
      <c r="C5">
        <v>1.0561</v>
      </c>
      <c r="D5">
        <v>1.0459679990251041</v>
      </c>
      <c r="E5">
        <v>50</v>
      </c>
      <c r="F5">
        <v>50.039499999999997</v>
      </c>
      <c r="G5">
        <v>50</v>
      </c>
      <c r="H5">
        <v>50.039499999999997</v>
      </c>
      <c r="I5">
        <v>0.102822811243989</v>
      </c>
    </row>
    <row r="8" spans="1:13" x14ac:dyDescent="0.25">
      <c r="B8" s="4">
        <f>MIN(Tabla6[V_min '[pu']])</f>
        <v>0.13059999999999999</v>
      </c>
      <c r="C8" s="4">
        <f>MAX(Tabla6[V_max '[pu']])</f>
        <v>1.0561</v>
      </c>
      <c r="D8" s="4">
        <f>AVERAGE(Tabla6[V_mean '[pu']])</f>
        <v>0.94589798318303697</v>
      </c>
      <c r="E8" s="4">
        <f>MIN(Tabla6[f_min '[Hz']])</f>
        <v>49.9756</v>
      </c>
      <c r="F8" s="4">
        <f>MAX(Tabla6[f_max '[Hz']])</f>
        <v>50.068600000000004</v>
      </c>
      <c r="G8" s="4">
        <f>MIN(Tabla6[f_nadir '[Hz']])</f>
        <v>49.9756</v>
      </c>
      <c r="H8" s="4">
        <f>MAX(Tabla6[f_zenith '[Hz']])</f>
        <v>50.068600000000004</v>
      </c>
      <c r="I8" s="4" cm="1">
        <f t="array" ref="I8">_xlfn.XLOOKUP(MAX(ABS(Tabla6[ROCOF_max '[Hz/s']])),ABS(Tabla6[ROCOF_max '[Hz/s']]),Tabla6[ROCOF_max '[Hz/s']])</f>
        <v>0.1312189199241226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F7B1D-2996-462B-8B32-0DF6F7604092}">
  <dimension ref="C3:J9"/>
  <sheetViews>
    <sheetView tabSelected="1" workbookViewId="0">
      <selection activeCell="C3" sqref="C3:J9"/>
    </sheetView>
  </sheetViews>
  <sheetFormatPr baseColWidth="10" defaultRowHeight="15" x14ac:dyDescent="0.25"/>
  <cols>
    <col min="3" max="3" width="32.140625" bestFit="1" customWidth="1"/>
    <col min="4" max="4" width="15.42578125" bestFit="1" customWidth="1"/>
    <col min="5" max="5" width="15.7109375" bestFit="1" customWidth="1"/>
    <col min="6" max="6" width="17" bestFit="1" customWidth="1"/>
    <col min="7" max="7" width="15.85546875" bestFit="1" customWidth="1"/>
    <col min="8" max="8" width="16.85546875" bestFit="1" customWidth="1"/>
    <col min="9" max="9" width="22.28515625" bestFit="1" customWidth="1"/>
    <col min="10" max="10" width="39.7109375" bestFit="1" customWidth="1"/>
  </cols>
  <sheetData>
    <row r="3" spans="3:10" x14ac:dyDescent="0.25">
      <c r="C3" t="s">
        <v>14</v>
      </c>
      <c r="D3" t="s">
        <v>1</v>
      </c>
      <c r="E3" t="s">
        <v>2</v>
      </c>
      <c r="F3" t="s">
        <v>3</v>
      </c>
      <c r="G3" t="s">
        <v>6</v>
      </c>
      <c r="H3" t="s">
        <v>7</v>
      </c>
      <c r="I3" t="s">
        <v>8</v>
      </c>
      <c r="J3" t="s">
        <v>21</v>
      </c>
    </row>
    <row r="4" spans="3:10" x14ac:dyDescent="0.25">
      <c r="C4" t="s">
        <v>15</v>
      </c>
      <c r="D4">
        <f>MIN(Tabla1[V_min '[pu']])</f>
        <v>0.11749999999999999</v>
      </c>
      <c r="E4">
        <f>MAX(Tabla1[V_max '[pu']])</f>
        <v>1.0620000000000001</v>
      </c>
      <c r="F4">
        <f>AVERAGE(Tabla1[V_mean '[pu']])</f>
        <v>0.9809145625152329</v>
      </c>
      <c r="G4">
        <f>MIN(Tabla1[f_nadir '[Hz']])</f>
        <v>49.868899999999996</v>
      </c>
      <c r="H4">
        <f>MAX(Tabla1[f_zenith '[Hz']])</f>
        <v>50.334099999999999</v>
      </c>
      <c r="I4" cm="1">
        <f t="array" ref="I4">_xlfn.XLOOKUP(MAX(ABS(Tabla1[ROCOF_max '[Hz/s']])),ABS(Tabla1[ROCOF_max '[Hz/s']]),Tabla1[ROCOF_max '[Hz/s']])</f>
        <v>0.40225904845466037</v>
      </c>
      <c r="J4" s="5" cm="1">
        <f t="array" ref="J4">Tabla7[Porcentaje dentro]</f>
        <v>1</v>
      </c>
    </row>
    <row r="5" spans="3:10" x14ac:dyDescent="0.25">
      <c r="C5" t="s">
        <v>16</v>
      </c>
      <c r="D5">
        <f>MIN(Tabla2[V_min '[pu']])</f>
        <v>0.1171</v>
      </c>
      <c r="E5">
        <f>MAX(Tabla2[V_max '[pu']])</f>
        <v>1.0619000000000001</v>
      </c>
      <c r="F5">
        <f>AVERAGE(Tabla2[V_mean '[pu']])</f>
        <v>0.98151799902510373</v>
      </c>
      <c r="G5">
        <f>MIN(Tabla2[f_nadir '[Hz']])</f>
        <v>49.900399999999998</v>
      </c>
      <c r="H5">
        <f>MAX(Tabla2[f_zenith '[Hz']])</f>
        <v>50.289000000000001</v>
      </c>
      <c r="I5" cm="1">
        <f t="array" ref="I5">_xlfn.XLOOKUP(MAX(ABS(Tabla2[ROCOF_max '[Hz/s']])),ABS(Tabla2[ROCOF_max '[Hz/s']]),Tabla2[ROCOF_max '[Hz/s']])</f>
        <v>0.34943491955063039</v>
      </c>
      <c r="J5" s="5" cm="1">
        <f t="array" ref="J5">Tabla79[Porcentaje dentro]</f>
        <v>1</v>
      </c>
    </row>
    <row r="6" spans="3:10" x14ac:dyDescent="0.25">
      <c r="C6" t="s">
        <v>17</v>
      </c>
      <c r="D6">
        <f>MIN(Tabla3[V_min '[pu']])</f>
        <v>0.11700000000000001</v>
      </c>
      <c r="E6">
        <f>MAX(Tabla3[V_max '[pu']])</f>
        <v>1.0620000000000001</v>
      </c>
      <c r="F6">
        <f>AVERAGE(Tabla3[V_mean '[pu']])</f>
        <v>0.98183788691201568</v>
      </c>
      <c r="G6">
        <f>MIN(Tabla3[f_nadir '[Hz']])</f>
        <v>49.914999999999999</v>
      </c>
      <c r="H6">
        <f>MAX(Tabla3[f_zenith '[Hz']])</f>
        <v>50.262900000000002</v>
      </c>
      <c r="I6" cm="1">
        <f t="array" ref="I6">_xlfn.XLOOKUP(MAX(ABS(Tabla3[ROCOF_max '[Hz/s']])),ABS(Tabla3[ROCOF_max '[Hz/s']]),Tabla3[ROCOF_max '[Hz/s']])</f>
        <v>-0.32369804705584859</v>
      </c>
      <c r="J6" s="5" cm="1">
        <f t="array" ref="J6">Tabla7910[Porcentaje dentro]</f>
        <v>1</v>
      </c>
    </row>
    <row r="7" spans="3:10" x14ac:dyDescent="0.25">
      <c r="C7" t="s">
        <v>18</v>
      </c>
      <c r="D7">
        <f>MIN(Tabla4[V_min '[pu']])</f>
        <v>0.1167</v>
      </c>
      <c r="E7">
        <f>MAX(Tabla4[V_max '[pu']])</f>
        <v>1.0707</v>
      </c>
      <c r="F7">
        <f>AVERAGE(Tabla4[V_mean '[pu']])</f>
        <v>1.0140206068730195</v>
      </c>
      <c r="G7">
        <f>MIN(Tabla4[f_nadir '[Hz']])</f>
        <v>40.173900000000003</v>
      </c>
      <c r="H7">
        <f>MAX(Tabla4[f_zenith '[Hz']])</f>
        <v>60.085299999999997</v>
      </c>
      <c r="I7" cm="1">
        <f t="array" ref="I7">_xlfn.XLOOKUP(MAX(ABS(Tabla4[ROCOF_max '[Hz/s']])),ABS(Tabla4[ROCOF_max '[Hz/s']]),Tabla4[ROCOF_max '[Hz/s']])</f>
        <v>-0.31397203580686001</v>
      </c>
      <c r="J7" s="5" cm="1">
        <f t="array" ref="J7">Tabla7911[Porcentaje dentro]</f>
        <v>0</v>
      </c>
    </row>
    <row r="8" spans="3:10" x14ac:dyDescent="0.25">
      <c r="C8" t="s">
        <v>19</v>
      </c>
      <c r="D8">
        <f>MIN(Tabla5[V_min '[pu']])</f>
        <v>0.1169</v>
      </c>
      <c r="E8">
        <f>MAX(Tabla5[V_max '[pu']])</f>
        <v>1.1099000000000001</v>
      </c>
      <c r="F8">
        <f>AVERAGE(Tabla5[V_mean '[pu']])</f>
        <v>1.0313070009748966</v>
      </c>
      <c r="G8">
        <f>MIN(Tabla5[f_nadir '[Hz']])</f>
        <v>33.5075</v>
      </c>
      <c r="H8">
        <f>MAX(Tabla5[f_zenith '[Hz']])</f>
        <v>52.092700000000001</v>
      </c>
      <c r="I8" cm="1">
        <f t="array" ref="I8">_xlfn.XLOOKUP(MAX(ABS(Tabla5[ROCOF_max '[Hz/s']])),ABS(Tabla5[ROCOF_max '[Hz/s']]),Tabla5[ROCOF_max '[Hz/s']])</f>
        <v>-0.72958538761800151</v>
      </c>
      <c r="J8" s="5" cm="1">
        <f t="array" ref="J8">Tabla7912[Porcentaje dentro]</f>
        <v>0</v>
      </c>
    </row>
    <row r="9" spans="3:10" x14ac:dyDescent="0.25">
      <c r="C9" t="s">
        <v>20</v>
      </c>
      <c r="D9">
        <f>MIN(Tabla6[V_min '[pu']])</f>
        <v>0.13059999999999999</v>
      </c>
      <c r="E9">
        <f>MAX(Tabla6[V_max '[pu']])</f>
        <v>1.0561</v>
      </c>
      <c r="F9">
        <f>AVERAGE(Tabla6[V_mean '[pu']])</f>
        <v>0.94589798318303697</v>
      </c>
      <c r="G9">
        <f>MIN(Tabla6[f_nadir '[Hz']])</f>
        <v>49.9756</v>
      </c>
      <c r="H9">
        <f>MAX(Tabla6[f_zenith '[Hz']])</f>
        <v>50.068600000000004</v>
      </c>
      <c r="I9" cm="1">
        <f t="array" ref="I9">_xlfn.XLOOKUP(MAX(ABS(Tabla6[ROCOF_max '[Hz/s']])),ABS(Tabla6[ROCOF_max '[Hz/s']]),Tabla6[ROCOF_max '[Hz/s']])</f>
        <v>0.1312189199241226</v>
      </c>
      <c r="J9" s="5" cm="1">
        <f t="array" ref="J9">Tabla7913[Porcentaje dentro]</f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0 cambios</vt:lpstr>
      <vt:lpstr>1 cambios</vt:lpstr>
      <vt:lpstr>2 cambios</vt:lpstr>
      <vt:lpstr>3 cambios</vt:lpstr>
      <vt:lpstr>4 cambios</vt:lpstr>
      <vt:lpstr>sobreinstalacion 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Nicolás Alberto Camousseight Palacios (n.camousseight)</dc:creator>
  <cp:lastModifiedBy>Nicolás Alberto Camousseight Palacios (n.camousseight)</cp:lastModifiedBy>
  <dcterms:created xsi:type="dcterms:W3CDTF">2026-06-05T19:23:43Z</dcterms:created>
  <dcterms:modified xsi:type="dcterms:W3CDTF">2026-06-06T05:32:42Z</dcterms:modified>
</cp:coreProperties>
</file>