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2DA4B3AF-B8DE-4139-8804-4429647F8357}" xr6:coauthVersionLast="47" xr6:coauthVersionMax="47" xr10:uidLastSave="{00000000-0000-0000-0000-000000000000}"/>
  <bookViews>
    <workbookView xWindow="-108" yWindow="-108" windowWidth="23256" windowHeight="12456" tabRatio="667" activeTab="5" xr2:uid="{2970CEC0-EE5A-4CD8-91C3-492854105335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sumen por escenari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5" l="1"/>
  <c r="D24" i="5"/>
  <c r="C24" i="5"/>
  <c r="G24" i="4"/>
  <c r="D24" i="4"/>
  <c r="C24" i="4"/>
  <c r="G24" i="3"/>
  <c r="D24" i="3"/>
  <c r="C24" i="3"/>
  <c r="G24" i="2"/>
  <c r="D24" i="2"/>
  <c r="C24" i="2"/>
  <c r="F24" i="5"/>
  <c r="E24" i="5"/>
  <c r="B24" i="5"/>
  <c r="F24" i="4"/>
  <c r="E24" i="4"/>
  <c r="B24" i="4"/>
  <c r="F24" i="3"/>
  <c r="E24" i="3"/>
  <c r="B24" i="3"/>
  <c r="F24" i="2"/>
  <c r="E24" i="2"/>
  <c r="B24" i="2"/>
  <c r="G24" i="1"/>
  <c r="E24" i="1"/>
  <c r="D24" i="1"/>
  <c r="C24" i="1"/>
  <c r="B24" i="1"/>
  <c r="F24" i="1"/>
</calcChain>
</file>

<file path=xl/sharedStrings.xml><?xml version="1.0" encoding="utf-8"?>
<sst xmlns="http://schemas.openxmlformats.org/spreadsheetml/2006/main" count="478" uniqueCount="68">
  <si>
    <t>Maquina</t>
  </si>
  <si>
    <t>Es Inversor</t>
  </si>
  <si>
    <t>I_max [pu]</t>
  </si>
  <si>
    <t>I_max en t [s]</t>
  </si>
  <si>
    <t>I_mean [pu]</t>
  </si>
  <si>
    <t>I_min [pu]</t>
  </si>
  <si>
    <t>Supera limite nominal</t>
  </si>
  <si>
    <t>Supera limite critico</t>
  </si>
  <si>
    <t>Tiempo sobre limite [s]</t>
  </si>
  <si>
    <t>Laja</t>
  </si>
  <si>
    <t>No</t>
  </si>
  <si>
    <t>no</t>
  </si>
  <si>
    <t>Nueva Aldea 2</t>
  </si>
  <si>
    <t>Horcones</t>
  </si>
  <si>
    <t>CholguÃ¡n</t>
  </si>
  <si>
    <t>Nueva Aldea 1</t>
  </si>
  <si>
    <t>CELCO Arauco</t>
  </si>
  <si>
    <t>PSEG</t>
  </si>
  <si>
    <t>Petropower</t>
  </si>
  <si>
    <t>Aconcagua</t>
  </si>
  <si>
    <t>Nehuenco III 9B</t>
  </si>
  <si>
    <t>Ventanas 1</t>
  </si>
  <si>
    <t>Bocamina</t>
  </si>
  <si>
    <t>Taltal I</t>
  </si>
  <si>
    <t>Ventanas 2</t>
  </si>
  <si>
    <t>Guacolda</t>
  </si>
  <si>
    <t>Nueva Renca</t>
  </si>
  <si>
    <t>San Isidro</t>
  </si>
  <si>
    <t>Nehuenco I</t>
  </si>
  <si>
    <t>Nehuenco II</t>
  </si>
  <si>
    <t>GFM Laja cc</t>
  </si>
  <si>
    <t>Si</t>
  </si>
  <si>
    <t>GFM Nueva aldea 2 cc</t>
  </si>
  <si>
    <t>GFM Horcones cc</t>
  </si>
  <si>
    <t>GFM Cholguan cc</t>
  </si>
  <si>
    <t>GFM Nueva aldea 1 cc</t>
  </si>
  <si>
    <t>GFM Celco Arauco cc</t>
  </si>
  <si>
    <t>GFM PSEG cc</t>
  </si>
  <si>
    <t>GFM Petropower cc</t>
  </si>
  <si>
    <t>GFM Aconcagua cc</t>
  </si>
  <si>
    <t>GFM Nahuen III 9b cc</t>
  </si>
  <si>
    <t>GFM Ventanas 1 cc</t>
  </si>
  <si>
    <t>GFM Bocamina cc</t>
  </si>
  <si>
    <t>GFM Taltal I cc</t>
  </si>
  <si>
    <t>GFM Ventanas 2 cc</t>
  </si>
  <si>
    <t>GFM Guacolda cc</t>
  </si>
  <si>
    <t>GFM Nueva Renca cc</t>
  </si>
  <si>
    <t>GFM San Isidro cc</t>
  </si>
  <si>
    <t>GFM Nehuenco I cc</t>
  </si>
  <si>
    <t>GFM Nehuenco II cc</t>
  </si>
  <si>
    <t>I max sistema</t>
  </si>
  <si>
    <t>Equipo asociado</t>
  </si>
  <si>
    <t>t asociado imax</t>
  </si>
  <si>
    <t>supera limite nominal</t>
  </si>
  <si>
    <t>supera limite critico</t>
  </si>
  <si>
    <t>Promedio corriente Imax</t>
  </si>
  <si>
    <t>Promedio del sistema</t>
  </si>
  <si>
    <t>Escenario</t>
  </si>
  <si>
    <t>Cantidad de inversores</t>
  </si>
  <si>
    <t>Caso base</t>
  </si>
  <si>
    <t>Reemplazo 25%</t>
  </si>
  <si>
    <t>Reemplazo 50%</t>
  </si>
  <si>
    <t>Reemplazo 75%</t>
  </si>
  <si>
    <t>Reemplazo 100%</t>
  </si>
  <si>
    <t>Imax​ sistema [pu]</t>
  </si>
  <si>
    <t>t(Imax​) [s]</t>
  </si>
  <si>
    <t>Sobre límite nominal</t>
  </si>
  <si>
    <t>Sobre límite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</si>
</sst>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21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5721F-BB1E-4A68-AC00-CDD704C46345}" name="Tabla1" displayName="Tabla1" ref="A1:I20" totalsRowShown="0" headerRowDxfId="17" headerRowBorderDxfId="19" tableBorderDxfId="20">
  <autoFilter ref="A1:I20" xr:uid="{8565721F-BB1E-4A68-AC00-CDD704C46345}"/>
  <tableColumns count="9">
    <tableColumn id="1" xr3:uid="{9D8CC406-212C-4F76-B57C-754E7B31498E}" name="Maquina" dataDxfId="18"/>
    <tableColumn id="2" xr3:uid="{B0B66553-B969-4A22-8359-D91F26903D45}" name="Es Inversor"/>
    <tableColumn id="3" xr3:uid="{039929DE-EE26-4BAC-BB8B-F7EEA5DC9488}" name="I_max [pu]"/>
    <tableColumn id="4" xr3:uid="{98E483D3-F31E-46E6-9506-652C33579915}" name="I_max en t [s]"/>
    <tableColumn id="5" xr3:uid="{BF6FE947-313B-44EC-976E-CA3AC5F509F0}" name="I_mean [pu]"/>
    <tableColumn id="6" xr3:uid="{9F678B58-0B72-45BD-8CA5-A375F04E9864}" name="I_min [pu]"/>
    <tableColumn id="7" xr3:uid="{ECDB8A47-B37F-4E9C-8A9A-A1D43338E86F}" name="Supera limite nominal"/>
    <tableColumn id="8" xr3:uid="{E21F210C-8AB1-4DA4-9092-899024F30D84}" name="Supera limite critico"/>
    <tableColumn id="9" xr3:uid="{5CD249D5-F0BF-40D7-849C-15F889007950}" name="Tiempo sobre limite [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30F61-D5A5-4C8B-BDFF-AE28944850A8}" name="Tabla2" displayName="Tabla2" ref="A1:I20" totalsRowShown="0" headerRowDxfId="13" headerRowBorderDxfId="15" tableBorderDxfId="16">
  <autoFilter ref="A1:I20" xr:uid="{0CA30F61-D5A5-4C8B-BDFF-AE28944850A8}"/>
  <tableColumns count="9">
    <tableColumn id="1" xr3:uid="{C7E28A46-B8C2-46D0-B892-208247A3D95F}" name="Maquina" dataDxfId="14"/>
    <tableColumn id="2" xr3:uid="{FA3F14D1-A53F-4E95-AF22-668778AA16FC}" name="Es Inversor"/>
    <tableColumn id="3" xr3:uid="{72FA30D6-B128-444C-BE46-9ECCDA38C68B}" name="I_max [pu]"/>
    <tableColumn id="4" xr3:uid="{034779DB-1A3C-49A6-A6CF-74FF4C6F5A17}" name="I_max en t [s]"/>
    <tableColumn id="5" xr3:uid="{DBF1DC3B-F3D0-4243-AC71-6A5355F7B884}" name="I_mean [pu]"/>
    <tableColumn id="6" xr3:uid="{E5B5ADB7-A00E-484F-89F6-16A1A138D14C}" name="I_min [pu]"/>
    <tableColumn id="7" xr3:uid="{CE142066-2FFC-43E1-961E-F53295E3862E}" name="Supera limite nominal"/>
    <tableColumn id="8" xr3:uid="{5E9EEC7A-20BE-485B-A236-A3233A168D79}" name="Supera limite critico"/>
    <tableColumn id="9" xr3:uid="{FE4BF3B9-DFE0-4A90-AB39-7391A8C4AD6A}" name="Tiempo sobre limite [s]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0D1D5-0807-4F3B-9D36-C9456D76D998}" name="Tabla3" displayName="Tabla3" ref="A1:I20" totalsRowShown="0" headerRowDxfId="9" headerRowBorderDxfId="11" tableBorderDxfId="12">
  <autoFilter ref="A1:I20" xr:uid="{6DC0D1D5-0807-4F3B-9D36-C9456D76D998}"/>
  <tableColumns count="9">
    <tableColumn id="1" xr3:uid="{95C1F698-F7DB-4811-BB65-990667F2C960}" name="Maquina" dataDxfId="10"/>
    <tableColumn id="2" xr3:uid="{2049523A-8174-4A76-AF8C-DD4B7FBEA730}" name="Es Inversor"/>
    <tableColumn id="3" xr3:uid="{B75DA825-AFE8-4630-9015-1B4B2CD27D49}" name="I_max [pu]"/>
    <tableColumn id="4" xr3:uid="{EB714B90-2590-4846-9632-2063B5F535A1}" name="I_max en t [s]"/>
    <tableColumn id="5" xr3:uid="{D9D6EA8C-42B5-4702-95DA-D6D45CE1DFFC}" name="I_mean [pu]"/>
    <tableColumn id="6" xr3:uid="{7D544A74-433F-4BC5-89B7-F3F6DD714BE2}" name="I_min [pu]"/>
    <tableColumn id="7" xr3:uid="{E50883AB-1BAA-401F-ACD5-F2DB94273DD7}" name="Supera limite nominal"/>
    <tableColumn id="8" xr3:uid="{014B6D74-CA31-47B2-BFA0-B76EC85F71C9}" name="Supera limite critico"/>
    <tableColumn id="9" xr3:uid="{386B56CA-65A8-4A20-B070-B2492436E829}" name="Tiempo sobre limite [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357FAD-4793-41BA-9971-004FF152CBF6}" name="Tabla4" displayName="Tabla4" ref="A1:I20" totalsRowShown="0" headerRowDxfId="5" headerRowBorderDxfId="7" tableBorderDxfId="8">
  <autoFilter ref="A1:I20" xr:uid="{78357FAD-4793-41BA-9971-004FF152CBF6}"/>
  <tableColumns count="9">
    <tableColumn id="1" xr3:uid="{3FB9D892-A34D-4663-A20B-F418E22BCA6A}" name="Maquina" dataDxfId="6"/>
    <tableColumn id="2" xr3:uid="{8596D48E-9FE6-40A8-95CD-F3E5B2C85FFA}" name="Es Inversor"/>
    <tableColumn id="3" xr3:uid="{FC0DDED7-8216-451E-8767-BC3D5FD1D7B7}" name="I_max [pu]"/>
    <tableColumn id="4" xr3:uid="{7CCB11AF-7F79-4268-9418-528D8F2DBC82}" name="I_max en t [s]"/>
    <tableColumn id="5" xr3:uid="{9BA29F9C-7ED6-4A00-896F-7CEF36BF3125}" name="I_mean [pu]"/>
    <tableColumn id="6" xr3:uid="{CC0F56B9-96B3-424F-B40E-B705EAB35DA9}" name="I_min [pu]"/>
    <tableColumn id="7" xr3:uid="{406F3521-9B11-4980-974E-76AB923E0E65}" name="Supera limite nominal"/>
    <tableColumn id="8" xr3:uid="{7B96842B-381D-4391-B7B2-82D372B29FBE}" name="Supera limite critico"/>
    <tableColumn id="9" xr3:uid="{B597D43A-9CDD-4A3B-8D4A-7B1A4580C64F}" name="Tiempo sobre limite [s]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D70361-4954-469E-9ADA-FCE648B484C1}" name="Tabla5" displayName="Tabla5" ref="A1:I20" totalsRowShown="0" headerRowDxfId="1" headerRowBorderDxfId="3" tableBorderDxfId="4">
  <autoFilter ref="A1:I20" xr:uid="{27D70361-4954-469E-9ADA-FCE648B484C1}"/>
  <tableColumns count="9">
    <tableColumn id="1" xr3:uid="{453E03DF-8FE1-4A96-BE17-BB8BA3A3933A}" name="Maquina" dataDxfId="2"/>
    <tableColumn id="2" xr3:uid="{FE2B7952-95F7-438D-B0FA-6D29972A44AC}" name="Es Inversor"/>
    <tableColumn id="3" xr3:uid="{37AAF347-9A95-41B1-B89A-C0D8D7D9D34C}" name="I_max [pu]"/>
    <tableColumn id="4" xr3:uid="{6F6532B9-EF9D-4A9C-BDC9-BEC02B48EBD2}" name="I_max en t [s]"/>
    <tableColumn id="5" xr3:uid="{AE9B3DD9-4980-44FA-82A8-546DFEE47724}" name="I_mean [pu]"/>
    <tableColumn id="6" xr3:uid="{CFB880D5-712A-4378-AE65-81D22DF9B4BB}" name="I_min [pu]"/>
    <tableColumn id="7" xr3:uid="{9930ED72-B149-4D47-AFF9-7EE37075E437}" name="Supera limite nominal"/>
    <tableColumn id="8" xr3:uid="{23CD21E5-ABAF-4CBF-8A28-E3A4D795F189}" name="Supera limite critico"/>
    <tableColumn id="9" xr3:uid="{220D9228-5B8B-4B4B-A870-BBD4DCB226B1}" name="Tiempo sobre limite [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02C6B9-B987-4F3A-AC81-F1309B09F48E}" name="Tabla6" displayName="Tabla6" ref="C3:J8" totalsRowShown="0" headerRowCellStyle="Normal" dataCellStyle="Normal">
  <autoFilter ref="C3:J8" xr:uid="{EA02C6B9-B987-4F3A-AC81-F1309B09F48E}"/>
  <tableColumns count="8">
    <tableColumn id="1" xr3:uid="{114ABDAE-F552-4C33-9454-9418D195F0BE}" name="Escenario" dataDxfId="0" dataCellStyle="Normal"/>
    <tableColumn id="2" xr3:uid="{A7750F58-FCBF-43C7-8D62-66E88028ACB8}" name="Cantidad de inversores" dataCellStyle="Normal"/>
    <tableColumn id="3" xr3:uid="{550D7379-0ECD-4183-B39B-FFB4430598D4}" name="Imax​ sistema [pu]" dataCellStyle="Normal"/>
    <tableColumn id="4" xr3:uid="{D0918EC7-A221-4403-B5B1-A7947C84E006}" name="Equipo asociado" dataCellStyle="Normal"/>
    <tableColumn id="5" xr3:uid="{A04139A9-70C2-4F5B-B084-10289385DF58}" name="t(Imax​) [s]" dataCellStyle="Normal"/>
    <tableColumn id="6" xr3:uid="{4F63E268-8CBD-4562-90D6-9086EFF1C861}" name="Promedio corriente Imax" dataCellStyle="Normal"/>
    <tableColumn id="7" xr3:uid="{2A93D8FD-EF07-4EDF-9B3C-D77175ACB11F}" name="Sobre límite nominal" dataCellStyle="Normal"/>
    <tableColumn id="8" xr3:uid="{1BD6D93F-7EEA-4AE4-9FA0-E38F6FFB09C0}" name="Sobre límite crítico" dataCellStyle="Normal"/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2B68-6D78-4ACD-84E8-9043DC11E4A0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14.33203125" bestFit="1" customWidth="1"/>
    <col min="2" max="3" width="14.5546875" bestFit="1" customWidth="1"/>
    <col min="4" max="4" width="16.77734375" bestFit="1" customWidth="1"/>
    <col min="5" max="5" width="15.77734375" bestFit="1" customWidth="1"/>
    <col min="6" max="6" width="14.21875" bestFit="1" customWidth="1"/>
    <col min="7" max="7" width="23.88671875" bestFit="1" customWidth="1"/>
    <col min="8" max="8" width="22.109375" bestFit="1" customWidth="1"/>
    <col min="9" max="9" width="24.6640625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9</v>
      </c>
      <c r="B2" s="2" t="s">
        <v>10</v>
      </c>
      <c r="C2" s="2">
        <v>0.75280000000000002</v>
      </c>
      <c r="D2" s="2">
        <v>1.4517</v>
      </c>
      <c r="E2" s="2">
        <v>0.74318450363196131</v>
      </c>
      <c r="F2" s="2">
        <v>0.72499999999999998</v>
      </c>
      <c r="G2" s="2" t="s">
        <v>11</v>
      </c>
      <c r="H2" s="2" t="s">
        <v>11</v>
      </c>
      <c r="I2" s="2">
        <v>0</v>
      </c>
    </row>
    <row r="3" spans="1:9" x14ac:dyDescent="0.3">
      <c r="A3" s="1" t="s">
        <v>12</v>
      </c>
      <c r="B3" s="2" t="s">
        <v>10</v>
      </c>
      <c r="C3" s="2">
        <v>0.6552</v>
      </c>
      <c r="D3" s="2">
        <v>1.4617</v>
      </c>
      <c r="E3" s="2">
        <v>0.64400096852300237</v>
      </c>
      <c r="F3" s="2">
        <v>0.62749999999999995</v>
      </c>
      <c r="G3" s="2" t="s">
        <v>11</v>
      </c>
      <c r="H3" s="2" t="s">
        <v>11</v>
      </c>
      <c r="I3" s="2">
        <v>0</v>
      </c>
    </row>
    <row r="4" spans="1:9" x14ac:dyDescent="0.3">
      <c r="A4" s="1" t="s">
        <v>13</v>
      </c>
      <c r="B4" s="2" t="s">
        <v>10</v>
      </c>
      <c r="C4" s="2">
        <v>0.3579</v>
      </c>
      <c r="D4" s="2">
        <v>1.0049999999999999</v>
      </c>
      <c r="E4" s="2">
        <v>0.33434794188861988</v>
      </c>
      <c r="F4" s="2">
        <v>0.32540000000000002</v>
      </c>
      <c r="G4" s="2" t="s">
        <v>11</v>
      </c>
      <c r="H4" s="2" t="s">
        <v>11</v>
      </c>
      <c r="I4" s="2">
        <v>0</v>
      </c>
    </row>
    <row r="5" spans="1:9" x14ac:dyDescent="0.3">
      <c r="A5" s="1" t="s">
        <v>14</v>
      </c>
      <c r="B5" s="2" t="s">
        <v>10</v>
      </c>
      <c r="C5" s="2">
        <v>0.75</v>
      </c>
      <c r="D5" s="2">
        <v>1.4717</v>
      </c>
      <c r="E5" s="2">
        <v>0.74324455205811135</v>
      </c>
      <c r="F5" s="2">
        <v>0.72540000000000004</v>
      </c>
      <c r="G5" s="2" t="s">
        <v>11</v>
      </c>
      <c r="H5" s="2" t="s">
        <v>11</v>
      </c>
      <c r="I5" s="2">
        <v>0</v>
      </c>
    </row>
    <row r="6" spans="1:9" x14ac:dyDescent="0.3">
      <c r="A6" s="1" t="s">
        <v>15</v>
      </c>
      <c r="B6" s="2" t="s">
        <v>10</v>
      </c>
      <c r="C6" s="2">
        <v>0.7752</v>
      </c>
      <c r="D6" s="2">
        <v>1.1000000000000001</v>
      </c>
      <c r="E6" s="2">
        <v>0.7475336561743342</v>
      </c>
      <c r="F6" s="2">
        <v>0.73740000000000006</v>
      </c>
      <c r="G6" s="2" t="s">
        <v>11</v>
      </c>
      <c r="H6" s="2" t="s">
        <v>11</v>
      </c>
      <c r="I6" s="2">
        <v>0</v>
      </c>
    </row>
    <row r="7" spans="1:9" x14ac:dyDescent="0.3">
      <c r="A7" s="1" t="s">
        <v>16</v>
      </c>
      <c r="B7" s="2" t="s">
        <v>10</v>
      </c>
      <c r="C7" s="2">
        <v>0.80740000000000001</v>
      </c>
      <c r="D7" s="2">
        <v>1.0049999999999999</v>
      </c>
      <c r="E7" s="2">
        <v>0.78162130750605341</v>
      </c>
      <c r="F7" s="2">
        <v>0.75600000000000001</v>
      </c>
      <c r="G7" s="2" t="s">
        <v>11</v>
      </c>
      <c r="H7" s="2" t="s">
        <v>11</v>
      </c>
      <c r="I7" s="2">
        <v>0</v>
      </c>
    </row>
    <row r="8" spans="1:9" x14ac:dyDescent="0.3">
      <c r="A8" s="1" t="s">
        <v>17</v>
      </c>
      <c r="B8" s="2" t="s">
        <v>10</v>
      </c>
      <c r="C8" s="2">
        <v>0.47539999999999999</v>
      </c>
      <c r="D8" s="2">
        <v>1.0049999999999999</v>
      </c>
      <c r="E8" s="2">
        <v>0.43661961259079912</v>
      </c>
      <c r="F8" s="2">
        <v>0.42620000000000002</v>
      </c>
      <c r="G8" s="2" t="s">
        <v>11</v>
      </c>
      <c r="H8" s="2" t="s">
        <v>11</v>
      </c>
      <c r="I8" s="2">
        <v>0</v>
      </c>
    </row>
    <row r="9" spans="1:9" x14ac:dyDescent="0.3">
      <c r="A9" s="1" t="s">
        <v>18</v>
      </c>
      <c r="B9" s="2" t="s">
        <v>10</v>
      </c>
      <c r="C9" s="2">
        <v>0.83609999999999995</v>
      </c>
      <c r="D9" s="2">
        <v>1.4117</v>
      </c>
      <c r="E9" s="2">
        <v>0.83001864406779668</v>
      </c>
      <c r="F9" s="2">
        <v>0.81040000000000001</v>
      </c>
      <c r="G9" s="2" t="s">
        <v>11</v>
      </c>
      <c r="H9" s="2" t="s">
        <v>11</v>
      </c>
      <c r="I9" s="2">
        <v>0</v>
      </c>
    </row>
    <row r="10" spans="1:9" x14ac:dyDescent="0.3">
      <c r="A10" s="1" t="s">
        <v>19</v>
      </c>
      <c r="B10" s="2" t="s">
        <v>10</v>
      </c>
      <c r="C10" s="2">
        <v>0.30630000000000002</v>
      </c>
      <c r="D10" s="2">
        <v>3.4417</v>
      </c>
      <c r="E10" s="2">
        <v>0.30016053268765142</v>
      </c>
      <c r="F10" s="2">
        <v>0.28870000000000001</v>
      </c>
      <c r="G10" s="2" t="s">
        <v>11</v>
      </c>
      <c r="H10" s="2" t="s">
        <v>11</v>
      </c>
      <c r="I10" s="2">
        <v>0</v>
      </c>
    </row>
    <row r="11" spans="1:9" x14ac:dyDescent="0.3">
      <c r="A11" s="1" t="s">
        <v>20</v>
      </c>
      <c r="B11" s="2" t="s">
        <v>10</v>
      </c>
      <c r="C11" s="2">
        <v>0.81320000000000003</v>
      </c>
      <c r="D11" s="2">
        <v>3.4217</v>
      </c>
      <c r="E11" s="2">
        <v>0.80789104116222754</v>
      </c>
      <c r="F11" s="2">
        <v>0.7964</v>
      </c>
      <c r="G11" s="2" t="s">
        <v>11</v>
      </c>
      <c r="H11" s="2" t="s">
        <v>11</v>
      </c>
      <c r="I11" s="2">
        <v>0</v>
      </c>
    </row>
    <row r="12" spans="1:9" x14ac:dyDescent="0.3">
      <c r="A12" s="1" t="s">
        <v>21</v>
      </c>
      <c r="B12" s="2" t="s">
        <v>10</v>
      </c>
      <c r="C12" s="2">
        <v>0.54279999999999995</v>
      </c>
      <c r="D12" s="2">
        <v>1.0049999999999999</v>
      </c>
      <c r="E12" s="2">
        <v>0.53355690072639239</v>
      </c>
      <c r="F12" s="2">
        <v>0.52669999999999995</v>
      </c>
      <c r="G12" s="2" t="s">
        <v>11</v>
      </c>
      <c r="H12" s="2" t="s">
        <v>11</v>
      </c>
      <c r="I12" s="2">
        <v>0</v>
      </c>
    </row>
    <row r="13" spans="1:9" x14ac:dyDescent="0.3">
      <c r="A13" s="1" t="s">
        <v>22</v>
      </c>
      <c r="B13" s="2" t="s">
        <v>10</v>
      </c>
      <c r="C13" s="2">
        <v>0.84719999999999995</v>
      </c>
      <c r="D13" s="2">
        <v>1.0049999999999999</v>
      </c>
      <c r="E13" s="2">
        <v>0.84020217917675555</v>
      </c>
      <c r="F13" s="2">
        <v>0.82010000000000005</v>
      </c>
      <c r="G13" s="2" t="s">
        <v>11</v>
      </c>
      <c r="H13" s="2" t="s">
        <v>11</v>
      </c>
      <c r="I13" s="2">
        <v>0</v>
      </c>
    </row>
    <row r="14" spans="1:9" x14ac:dyDescent="0.3">
      <c r="A14" s="1" t="s">
        <v>23</v>
      </c>
      <c r="B14" s="2" t="s">
        <v>10</v>
      </c>
      <c r="C14" s="2">
        <v>0.77410000000000001</v>
      </c>
      <c r="D14" s="2">
        <v>3.8416999999999999</v>
      </c>
      <c r="E14" s="2">
        <v>0.75245278450363207</v>
      </c>
      <c r="F14" s="2">
        <v>0.72330000000000005</v>
      </c>
      <c r="G14" s="2" t="s">
        <v>11</v>
      </c>
      <c r="H14" s="2" t="s">
        <v>11</v>
      </c>
      <c r="I14" s="2">
        <v>0</v>
      </c>
    </row>
    <row r="15" spans="1:9" x14ac:dyDescent="0.3">
      <c r="A15" s="1" t="s">
        <v>24</v>
      </c>
      <c r="B15" s="2" t="s">
        <v>10</v>
      </c>
      <c r="C15" s="2">
        <v>0.74360000000000004</v>
      </c>
      <c r="D15" s="2">
        <v>3.4016999999999999</v>
      </c>
      <c r="E15" s="2">
        <v>0.73789297820823241</v>
      </c>
      <c r="F15" s="2">
        <v>0.72570000000000001</v>
      </c>
      <c r="G15" s="2" t="s">
        <v>11</v>
      </c>
      <c r="H15" s="2" t="s">
        <v>11</v>
      </c>
      <c r="I15" s="2">
        <v>0</v>
      </c>
    </row>
    <row r="16" spans="1:9" x14ac:dyDescent="0.3">
      <c r="A16" s="1" t="s">
        <v>25</v>
      </c>
      <c r="B16" s="2" t="s">
        <v>10</v>
      </c>
      <c r="C16" s="2">
        <v>0.80910000000000004</v>
      </c>
      <c r="D16" s="2">
        <v>3.8216999999999999</v>
      </c>
      <c r="E16" s="2">
        <v>0.79974939467312356</v>
      </c>
      <c r="F16" s="2">
        <v>0.78290000000000004</v>
      </c>
      <c r="G16" s="2" t="s">
        <v>11</v>
      </c>
      <c r="H16" s="2" t="s">
        <v>11</v>
      </c>
      <c r="I16" s="2">
        <v>0</v>
      </c>
    </row>
    <row r="17" spans="1:9" x14ac:dyDescent="0.3">
      <c r="A17" s="1" t="s">
        <v>26</v>
      </c>
      <c r="B17" s="2" t="s">
        <v>10</v>
      </c>
      <c r="C17" s="2">
        <v>0.9617</v>
      </c>
      <c r="D17" s="2">
        <v>1.0049999999999999</v>
      </c>
      <c r="E17" s="2">
        <v>0.9543489104116224</v>
      </c>
      <c r="F17" s="2">
        <v>0.94110000000000005</v>
      </c>
      <c r="G17" s="2" t="s">
        <v>11</v>
      </c>
      <c r="H17" s="2" t="s">
        <v>11</v>
      </c>
      <c r="I17" s="2">
        <v>0</v>
      </c>
    </row>
    <row r="18" spans="1:9" x14ac:dyDescent="0.3">
      <c r="A18" s="1" t="s">
        <v>27</v>
      </c>
      <c r="B18" s="2" t="s">
        <v>10</v>
      </c>
      <c r="C18" s="2">
        <v>0.33939999999999998</v>
      </c>
      <c r="D18" s="2">
        <v>1.0049999999999999</v>
      </c>
      <c r="E18" s="2">
        <v>0.33157360774818401</v>
      </c>
      <c r="F18" s="2">
        <v>0.3231</v>
      </c>
      <c r="G18" s="2" t="s">
        <v>11</v>
      </c>
      <c r="H18" s="2" t="s">
        <v>11</v>
      </c>
      <c r="I18" s="2">
        <v>0</v>
      </c>
    </row>
    <row r="19" spans="1:9" x14ac:dyDescent="0.3">
      <c r="A19" s="1" t="s">
        <v>28</v>
      </c>
      <c r="B19" s="2" t="s">
        <v>10</v>
      </c>
      <c r="C19" s="2">
        <v>0.66739999999999999</v>
      </c>
      <c r="D19" s="2">
        <v>1.0049999999999999</v>
      </c>
      <c r="E19" s="2">
        <v>0.66169467312348673</v>
      </c>
      <c r="F19" s="2">
        <v>0.64910000000000001</v>
      </c>
      <c r="G19" s="2" t="s">
        <v>11</v>
      </c>
      <c r="H19" s="2" t="s">
        <v>11</v>
      </c>
      <c r="I19" s="2">
        <v>0</v>
      </c>
    </row>
    <row r="20" spans="1:9" x14ac:dyDescent="0.3">
      <c r="A20" s="1" t="s">
        <v>29</v>
      </c>
      <c r="B20" s="2" t="s">
        <v>10</v>
      </c>
      <c r="C20" s="2">
        <v>0.86439999999999995</v>
      </c>
      <c r="D20" s="2">
        <v>1.0049999999999999</v>
      </c>
      <c r="E20" s="2">
        <v>0.85633317191283298</v>
      </c>
      <c r="F20" s="2">
        <v>0.84819999999999995</v>
      </c>
      <c r="G20" s="2" t="s">
        <v>11</v>
      </c>
      <c r="H20" s="2" t="s">
        <v>11</v>
      </c>
      <c r="I20" s="2">
        <v>0</v>
      </c>
    </row>
    <row r="23" spans="1:9" x14ac:dyDescent="0.3">
      <c r="A23" s="6"/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</row>
    <row r="24" spans="1:9" x14ac:dyDescent="0.3">
      <c r="A24" s="9" t="s">
        <v>56</v>
      </c>
      <c r="B24" s="9">
        <f>MAX(C2:C20)</f>
        <v>0.9617</v>
      </c>
      <c r="C24" s="9" t="str">
        <f>INDEX(Tabla1[Maquina],MATCH(B24,Tabla1[I_max '[pu']],0))</f>
        <v>Nueva Renca</v>
      </c>
      <c r="D24" s="9">
        <f>INDEX(Tabla1[I_max en t '[s']],MATCH(B24,Tabla1[I_max '[pu']],0))</f>
        <v>1.0049999999999999</v>
      </c>
      <c r="E24" s="9">
        <f>COUNTIF(G2:G20,"Si")</f>
        <v>0</v>
      </c>
      <c r="F24" s="9">
        <f>COUNTIF(H2:H20,"Si")</f>
        <v>0</v>
      </c>
      <c r="G24" s="10">
        <f>AVERAGE(Tabla1[I_max '[pu']])</f>
        <v>0.6883789473684212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2C4-474C-47FF-994B-9C8B346A5D7C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19.5546875" bestFit="1" customWidth="1"/>
    <col min="2" max="3" width="14.5546875" bestFit="1" customWidth="1"/>
    <col min="4" max="4" width="16.77734375" bestFit="1" customWidth="1"/>
    <col min="5" max="5" width="15.77734375" bestFit="1" customWidth="1"/>
    <col min="6" max="6" width="14.21875" bestFit="1" customWidth="1"/>
    <col min="7" max="7" width="23.88671875" bestFit="1" customWidth="1"/>
    <col min="8" max="8" width="22.109375" bestFit="1" customWidth="1"/>
    <col min="9" max="9" width="24.6640625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30</v>
      </c>
      <c r="B2" s="3" t="s">
        <v>31</v>
      </c>
      <c r="C2" s="3">
        <v>0.74650000000000005</v>
      </c>
      <c r="D2" s="3">
        <v>-0.1</v>
      </c>
      <c r="E2" s="3">
        <v>0.63160626370948092</v>
      </c>
      <c r="F2" s="3">
        <v>0.54359999999999997</v>
      </c>
      <c r="G2" s="3" t="s">
        <v>11</v>
      </c>
      <c r="H2" s="3" t="s">
        <v>11</v>
      </c>
      <c r="I2" s="3">
        <v>0</v>
      </c>
    </row>
    <row r="3" spans="1:9" x14ac:dyDescent="0.3">
      <c r="A3" s="1" t="s">
        <v>32</v>
      </c>
      <c r="B3" s="3" t="s">
        <v>31</v>
      </c>
      <c r="C3" s="3">
        <v>0.6472</v>
      </c>
      <c r="D3" s="3">
        <v>-0.1</v>
      </c>
      <c r="E3" s="3">
        <v>0.5318928588837436</v>
      </c>
      <c r="F3" s="3">
        <v>0.44280000000000003</v>
      </c>
      <c r="G3" s="3" t="s">
        <v>11</v>
      </c>
      <c r="H3" s="3" t="s">
        <v>11</v>
      </c>
      <c r="I3" s="3">
        <v>0</v>
      </c>
    </row>
    <row r="4" spans="1:9" x14ac:dyDescent="0.3">
      <c r="A4" s="1" t="s">
        <v>33</v>
      </c>
      <c r="B4" s="3" t="s">
        <v>31</v>
      </c>
      <c r="C4" s="3">
        <v>0.38369999999999999</v>
      </c>
      <c r="D4" s="3">
        <v>1.0232000000000001</v>
      </c>
      <c r="E4" s="3">
        <v>0.26648964172556672</v>
      </c>
      <c r="F4" s="3">
        <v>0.21540000000000001</v>
      </c>
      <c r="G4" s="3" t="s">
        <v>11</v>
      </c>
      <c r="H4" s="3" t="s">
        <v>11</v>
      </c>
      <c r="I4" s="3">
        <v>0</v>
      </c>
    </row>
    <row r="5" spans="1:9" x14ac:dyDescent="0.3">
      <c r="A5" s="1" t="s">
        <v>34</v>
      </c>
      <c r="B5" s="3" t="s">
        <v>31</v>
      </c>
      <c r="C5" s="3">
        <v>0.74719999999999998</v>
      </c>
      <c r="D5" s="3">
        <v>1.0751999999999999</v>
      </c>
      <c r="E5" s="3">
        <v>0.63165676334389464</v>
      </c>
      <c r="F5" s="3">
        <v>0.54369999999999996</v>
      </c>
      <c r="G5" s="3" t="s">
        <v>11</v>
      </c>
      <c r="H5" s="3" t="s">
        <v>11</v>
      </c>
      <c r="I5" s="3">
        <v>0</v>
      </c>
    </row>
    <row r="6" spans="1:9" x14ac:dyDescent="0.3">
      <c r="A6" s="1" t="s">
        <v>35</v>
      </c>
      <c r="B6" s="3" t="s">
        <v>31</v>
      </c>
      <c r="C6" s="3">
        <v>0.7843</v>
      </c>
      <c r="D6" s="3">
        <v>1.0682</v>
      </c>
      <c r="E6" s="3">
        <v>0.64312834511333161</v>
      </c>
      <c r="F6" s="3">
        <v>0.56269999999999998</v>
      </c>
      <c r="G6" s="3" t="s">
        <v>11</v>
      </c>
      <c r="H6" s="3" t="s">
        <v>11</v>
      </c>
      <c r="I6" s="3">
        <v>0</v>
      </c>
    </row>
    <row r="7" spans="1:9" x14ac:dyDescent="0.3">
      <c r="A7" s="1" t="s">
        <v>36</v>
      </c>
      <c r="B7" s="3" t="s">
        <v>31</v>
      </c>
      <c r="C7" s="3">
        <v>0.83530000000000004</v>
      </c>
      <c r="D7" s="3">
        <v>1.0242</v>
      </c>
      <c r="E7" s="3">
        <v>0.70919149402875947</v>
      </c>
      <c r="F7" s="3">
        <v>0.65390000000000004</v>
      </c>
      <c r="G7" s="3" t="s">
        <v>11</v>
      </c>
      <c r="H7" s="3" t="s">
        <v>11</v>
      </c>
      <c r="I7" s="3">
        <v>0</v>
      </c>
    </row>
    <row r="8" spans="1:9" x14ac:dyDescent="0.3">
      <c r="A8" s="1" t="s">
        <v>17</v>
      </c>
      <c r="B8" s="3" t="s">
        <v>10</v>
      </c>
      <c r="C8" s="3">
        <v>0.47060000000000002</v>
      </c>
      <c r="D8" s="3">
        <v>1.0004999999999999</v>
      </c>
      <c r="E8" s="3">
        <v>0.43707270290031691</v>
      </c>
      <c r="F8" s="3">
        <v>0.4284</v>
      </c>
      <c r="G8" s="3" t="s">
        <v>11</v>
      </c>
      <c r="H8" s="3" t="s">
        <v>11</v>
      </c>
      <c r="I8" s="3">
        <v>0</v>
      </c>
    </row>
    <row r="9" spans="1:9" x14ac:dyDescent="0.3">
      <c r="A9" s="1" t="s">
        <v>18</v>
      </c>
      <c r="B9" s="3" t="s">
        <v>10</v>
      </c>
      <c r="C9" s="3">
        <v>0.83689999999999998</v>
      </c>
      <c r="D9" s="3">
        <v>2.8801999999999999</v>
      </c>
      <c r="E9" s="3">
        <v>0.83166370948086765</v>
      </c>
      <c r="F9" s="3">
        <v>0.81820000000000004</v>
      </c>
      <c r="G9" s="3" t="s">
        <v>11</v>
      </c>
      <c r="H9" s="3" t="s">
        <v>11</v>
      </c>
      <c r="I9" s="3">
        <v>0</v>
      </c>
    </row>
    <row r="10" spans="1:9" x14ac:dyDescent="0.3">
      <c r="A10" s="1" t="s">
        <v>19</v>
      </c>
      <c r="B10" s="3" t="s">
        <v>10</v>
      </c>
      <c r="C10" s="3">
        <v>0.30840000000000001</v>
      </c>
      <c r="D10" s="3">
        <v>3.3852000000000002</v>
      </c>
      <c r="E10" s="3">
        <v>0.30188030709237151</v>
      </c>
      <c r="F10" s="3">
        <v>0.2908</v>
      </c>
      <c r="G10" s="3" t="s">
        <v>11</v>
      </c>
      <c r="H10" s="3" t="s">
        <v>11</v>
      </c>
      <c r="I10" s="3">
        <v>0</v>
      </c>
    </row>
    <row r="11" spans="1:9" x14ac:dyDescent="0.3">
      <c r="A11" s="1" t="s">
        <v>20</v>
      </c>
      <c r="B11" s="3" t="s">
        <v>10</v>
      </c>
      <c r="C11" s="3">
        <v>0.81459999999999999</v>
      </c>
      <c r="D11" s="3">
        <v>3.3431999999999999</v>
      </c>
      <c r="E11" s="3">
        <v>0.80919400438703393</v>
      </c>
      <c r="F11" s="3">
        <v>0.79830000000000001</v>
      </c>
      <c r="G11" s="3" t="s">
        <v>11</v>
      </c>
      <c r="H11" s="3" t="s">
        <v>11</v>
      </c>
      <c r="I11" s="3">
        <v>0</v>
      </c>
    </row>
    <row r="12" spans="1:9" x14ac:dyDescent="0.3">
      <c r="A12" s="1" t="s">
        <v>21</v>
      </c>
      <c r="B12" s="3" t="s">
        <v>10</v>
      </c>
      <c r="C12" s="3">
        <v>0.54259999999999997</v>
      </c>
      <c r="D12" s="3">
        <v>1.0004999999999999</v>
      </c>
      <c r="E12" s="3">
        <v>0.53508954423592492</v>
      </c>
      <c r="F12" s="3">
        <v>0.52810000000000001</v>
      </c>
      <c r="G12" s="3" t="s">
        <v>11</v>
      </c>
      <c r="H12" s="3" t="s">
        <v>11</v>
      </c>
      <c r="I12" s="3">
        <v>0</v>
      </c>
    </row>
    <row r="13" spans="1:9" x14ac:dyDescent="0.3">
      <c r="A13" s="1" t="s">
        <v>22</v>
      </c>
      <c r="B13" s="3" t="s">
        <v>10</v>
      </c>
      <c r="C13" s="3">
        <v>0.84640000000000004</v>
      </c>
      <c r="D13" s="3">
        <v>2.9072</v>
      </c>
      <c r="E13" s="3">
        <v>0.84109073848403615</v>
      </c>
      <c r="F13" s="3">
        <v>0.8276</v>
      </c>
      <c r="G13" s="3" t="s">
        <v>11</v>
      </c>
      <c r="H13" s="3" t="s">
        <v>11</v>
      </c>
      <c r="I13" s="3">
        <v>0</v>
      </c>
    </row>
    <row r="14" spans="1:9" x14ac:dyDescent="0.3">
      <c r="A14" s="1" t="s">
        <v>23</v>
      </c>
      <c r="B14" s="3" t="s">
        <v>10</v>
      </c>
      <c r="C14" s="3">
        <v>0.77680000000000005</v>
      </c>
      <c r="D14" s="3">
        <v>3.8172000000000001</v>
      </c>
      <c r="E14" s="3">
        <v>0.75483061174750199</v>
      </c>
      <c r="F14" s="3">
        <v>0.72940000000000005</v>
      </c>
      <c r="G14" s="3" t="s">
        <v>11</v>
      </c>
      <c r="H14" s="3" t="s">
        <v>11</v>
      </c>
      <c r="I14" s="3">
        <v>0</v>
      </c>
    </row>
    <row r="15" spans="1:9" x14ac:dyDescent="0.3">
      <c r="A15" s="1" t="s">
        <v>24</v>
      </c>
      <c r="B15" s="3" t="s">
        <v>10</v>
      </c>
      <c r="C15" s="3">
        <v>0.74550000000000005</v>
      </c>
      <c r="D15" s="3">
        <v>3.3641999999999999</v>
      </c>
      <c r="E15" s="3">
        <v>0.73941308798440164</v>
      </c>
      <c r="F15" s="3">
        <v>0.72770000000000001</v>
      </c>
      <c r="G15" s="3" t="s">
        <v>11</v>
      </c>
      <c r="H15" s="3" t="s">
        <v>11</v>
      </c>
      <c r="I15" s="3">
        <v>0</v>
      </c>
    </row>
    <row r="16" spans="1:9" x14ac:dyDescent="0.3">
      <c r="A16" s="1" t="s">
        <v>25</v>
      </c>
      <c r="B16" s="3" t="s">
        <v>10</v>
      </c>
      <c r="C16" s="3">
        <v>0.81240000000000001</v>
      </c>
      <c r="D16" s="3">
        <v>3.8041999999999998</v>
      </c>
      <c r="E16" s="3">
        <v>0.80197972215452118</v>
      </c>
      <c r="F16" s="3">
        <v>0.78810000000000002</v>
      </c>
      <c r="G16" s="3" t="s">
        <v>11</v>
      </c>
      <c r="H16" s="3" t="s">
        <v>11</v>
      </c>
      <c r="I16" s="3">
        <v>0</v>
      </c>
    </row>
    <row r="17" spans="1:9" x14ac:dyDescent="0.3">
      <c r="A17" s="1" t="s">
        <v>26</v>
      </c>
      <c r="B17" s="3" t="s">
        <v>10</v>
      </c>
      <c r="C17" s="3">
        <v>0.9617</v>
      </c>
      <c r="D17" s="3">
        <v>1.0004999999999999</v>
      </c>
      <c r="E17" s="3">
        <v>0.95559483304898862</v>
      </c>
      <c r="F17" s="3">
        <v>0.94299999999999995</v>
      </c>
      <c r="G17" s="3" t="s">
        <v>11</v>
      </c>
      <c r="H17" s="3" t="s">
        <v>11</v>
      </c>
      <c r="I17" s="3">
        <v>0</v>
      </c>
    </row>
    <row r="18" spans="1:9" x14ac:dyDescent="0.3">
      <c r="A18" s="1" t="s">
        <v>27</v>
      </c>
      <c r="B18" s="3" t="s">
        <v>10</v>
      </c>
      <c r="C18" s="3">
        <v>0.33950000000000002</v>
      </c>
      <c r="D18" s="3">
        <v>1.0004999999999999</v>
      </c>
      <c r="E18" s="3">
        <v>0.33402641969290758</v>
      </c>
      <c r="F18" s="3">
        <v>0.32519999999999999</v>
      </c>
      <c r="G18" s="3" t="s">
        <v>11</v>
      </c>
      <c r="H18" s="3" t="s">
        <v>11</v>
      </c>
      <c r="I18" s="3">
        <v>0</v>
      </c>
    </row>
    <row r="19" spans="1:9" x14ac:dyDescent="0.3">
      <c r="A19" s="1" t="s">
        <v>28</v>
      </c>
      <c r="B19" s="3" t="s">
        <v>10</v>
      </c>
      <c r="C19" s="3">
        <v>0.66810000000000003</v>
      </c>
      <c r="D19" s="3">
        <v>3.3992</v>
      </c>
      <c r="E19" s="3">
        <v>0.6626945649524737</v>
      </c>
      <c r="F19" s="3">
        <v>0.65090000000000003</v>
      </c>
      <c r="G19" s="3" t="s">
        <v>11</v>
      </c>
      <c r="H19" s="3" t="s">
        <v>11</v>
      </c>
      <c r="I19" s="3">
        <v>0</v>
      </c>
    </row>
    <row r="20" spans="1:9" x14ac:dyDescent="0.3">
      <c r="A20" s="1" t="s">
        <v>29</v>
      </c>
      <c r="B20" s="3" t="s">
        <v>10</v>
      </c>
      <c r="C20" s="3">
        <v>0.86439999999999995</v>
      </c>
      <c r="D20" s="3">
        <v>1.0004999999999999</v>
      </c>
      <c r="E20" s="3">
        <v>0.8585313429198147</v>
      </c>
      <c r="F20" s="3">
        <v>0.85040000000000004</v>
      </c>
      <c r="G20" s="3" t="s">
        <v>11</v>
      </c>
      <c r="H20" s="3" t="s">
        <v>11</v>
      </c>
      <c r="I20" s="3">
        <v>0</v>
      </c>
    </row>
    <row r="23" spans="1:9" x14ac:dyDescent="0.3">
      <c r="A23" s="6"/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</row>
    <row r="24" spans="1:9" x14ac:dyDescent="0.3">
      <c r="A24" s="9" t="s">
        <v>56</v>
      </c>
      <c r="B24" s="9">
        <f>MAX(C2:C20)</f>
        <v>0.9617</v>
      </c>
      <c r="C24" s="9" t="str">
        <f>INDEX(Tabla2[Maquina],MATCH(B24,Tabla2[I_max '[pu']],0))</f>
        <v>Nueva Renca</v>
      </c>
      <c r="D24" s="9">
        <f>INDEX(Tabla2[I_max en t '[s']],MATCH(B24,Tabla2[I_max '[pu']],0))</f>
        <v>1.0004999999999999</v>
      </c>
      <c r="E24" s="9">
        <f>COUNTIF(G2:G20,"Si")</f>
        <v>0</v>
      </c>
      <c r="F24" s="9">
        <f>COUNTIF(H2:H20,"Si")</f>
        <v>0</v>
      </c>
      <c r="G24" s="10">
        <f>AVERAGE(Tabla2[I_max '[pu']])</f>
        <v>0.69116315789473692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12A0-BC91-4584-BD7D-23F8CCFF10C5}">
  <dimension ref="A1:I24"/>
  <sheetViews>
    <sheetView workbookViewId="0">
      <selection activeCell="D25" sqref="D25"/>
    </sheetView>
  </sheetViews>
  <sheetFormatPr baseColWidth="10" defaultRowHeight="14.4" x14ac:dyDescent="0.3"/>
  <cols>
    <col min="1" max="1" width="19.5546875" bestFit="1" customWidth="1"/>
    <col min="2" max="3" width="14.5546875" bestFit="1" customWidth="1"/>
    <col min="4" max="4" width="16.77734375" bestFit="1" customWidth="1"/>
    <col min="5" max="5" width="15.77734375" bestFit="1" customWidth="1"/>
    <col min="6" max="6" width="14.21875" bestFit="1" customWidth="1"/>
    <col min="7" max="7" width="23.88671875" bestFit="1" customWidth="1"/>
    <col min="8" max="8" width="22.109375" bestFit="1" customWidth="1"/>
    <col min="9" max="9" width="24.6640625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30</v>
      </c>
      <c r="B2" s="4" t="s">
        <v>31</v>
      </c>
      <c r="C2" s="4">
        <v>0.74650000000000005</v>
      </c>
      <c r="D2" s="4">
        <v>-0.1</v>
      </c>
      <c r="E2" s="4">
        <v>0.66393421886424553</v>
      </c>
      <c r="F2" s="4">
        <v>0.60150000000000003</v>
      </c>
      <c r="G2" s="4" t="s">
        <v>11</v>
      </c>
      <c r="H2" s="4" t="s">
        <v>11</v>
      </c>
      <c r="I2" s="4">
        <v>0</v>
      </c>
    </row>
    <row r="3" spans="1:9" x14ac:dyDescent="0.3">
      <c r="A3" s="1" t="s">
        <v>32</v>
      </c>
      <c r="B3" s="4" t="s">
        <v>31</v>
      </c>
      <c r="C3" s="4">
        <v>0.6472</v>
      </c>
      <c r="D3" s="4">
        <v>-0.1</v>
      </c>
      <c r="E3" s="4">
        <v>0.56427784547891791</v>
      </c>
      <c r="F3" s="4">
        <v>0.50109999999999999</v>
      </c>
      <c r="G3" s="4" t="s">
        <v>11</v>
      </c>
      <c r="H3" s="4" t="s">
        <v>11</v>
      </c>
      <c r="I3" s="4">
        <v>0</v>
      </c>
    </row>
    <row r="4" spans="1:9" x14ac:dyDescent="0.3">
      <c r="A4" s="1" t="s">
        <v>33</v>
      </c>
      <c r="B4" s="4" t="s">
        <v>31</v>
      </c>
      <c r="C4" s="4">
        <v>0.37769999999999998</v>
      </c>
      <c r="D4" s="4">
        <v>1.0004999999999999</v>
      </c>
      <c r="E4" s="4">
        <v>0.26526960760419199</v>
      </c>
      <c r="F4" s="4">
        <v>0.21340000000000001</v>
      </c>
      <c r="G4" s="4" t="s">
        <v>11</v>
      </c>
      <c r="H4" s="4" t="s">
        <v>11</v>
      </c>
      <c r="I4" s="4">
        <v>0</v>
      </c>
    </row>
    <row r="5" spans="1:9" x14ac:dyDescent="0.3">
      <c r="A5" s="1" t="s">
        <v>34</v>
      </c>
      <c r="B5" s="4" t="s">
        <v>31</v>
      </c>
      <c r="C5" s="4">
        <v>0.74870000000000003</v>
      </c>
      <c r="D5" s="4">
        <v>1.0782</v>
      </c>
      <c r="E5" s="4">
        <v>0.6639566171094321</v>
      </c>
      <c r="F5" s="4">
        <v>0.60140000000000005</v>
      </c>
      <c r="G5" s="4" t="s">
        <v>11</v>
      </c>
      <c r="H5" s="4" t="s">
        <v>11</v>
      </c>
      <c r="I5" s="4">
        <v>0</v>
      </c>
    </row>
    <row r="6" spans="1:9" x14ac:dyDescent="0.3">
      <c r="A6" s="1" t="s">
        <v>35</v>
      </c>
      <c r="B6" s="4" t="s">
        <v>31</v>
      </c>
      <c r="C6" s="4">
        <v>0.78449999999999998</v>
      </c>
      <c r="D6" s="4">
        <v>1.0702</v>
      </c>
      <c r="E6" s="4">
        <v>0.67413994638069696</v>
      </c>
      <c r="F6" s="4">
        <v>0.61670000000000003</v>
      </c>
      <c r="G6" s="4" t="s">
        <v>11</v>
      </c>
      <c r="H6" s="4" t="s">
        <v>11</v>
      </c>
      <c r="I6" s="4">
        <v>0</v>
      </c>
    </row>
    <row r="7" spans="1:9" x14ac:dyDescent="0.3">
      <c r="A7" s="1" t="s">
        <v>36</v>
      </c>
      <c r="B7" s="4" t="s">
        <v>31</v>
      </c>
      <c r="C7" s="4">
        <v>0.82750000000000001</v>
      </c>
      <c r="D7" s="4">
        <v>1.0004999999999999</v>
      </c>
      <c r="E7" s="4">
        <v>0.71448615647087488</v>
      </c>
      <c r="F7" s="4">
        <v>0.66669999999999996</v>
      </c>
      <c r="G7" s="4" t="s">
        <v>11</v>
      </c>
      <c r="H7" s="4" t="s">
        <v>11</v>
      </c>
      <c r="I7" s="4">
        <v>0</v>
      </c>
    </row>
    <row r="8" spans="1:9" x14ac:dyDescent="0.3">
      <c r="A8" s="1" t="s">
        <v>37</v>
      </c>
      <c r="B8" s="4" t="s">
        <v>31</v>
      </c>
      <c r="C8" s="4">
        <v>0.49359999999999998</v>
      </c>
      <c r="D8" s="4">
        <v>1.0242</v>
      </c>
      <c r="E8" s="4">
        <v>0.40231045576407509</v>
      </c>
      <c r="F8" s="4">
        <v>0.37669999999999998</v>
      </c>
      <c r="G8" s="4" t="s">
        <v>11</v>
      </c>
      <c r="H8" s="4" t="s">
        <v>11</v>
      </c>
      <c r="I8" s="4">
        <v>0</v>
      </c>
    </row>
    <row r="9" spans="1:9" x14ac:dyDescent="0.3">
      <c r="A9" s="1" t="s">
        <v>38</v>
      </c>
      <c r="B9" s="4" t="s">
        <v>31</v>
      </c>
      <c r="C9" s="4">
        <v>0.83379999999999999</v>
      </c>
      <c r="D9" s="4">
        <v>-0.1</v>
      </c>
      <c r="E9" s="4">
        <v>0.74925225444796484</v>
      </c>
      <c r="F9" s="4">
        <v>0.68520000000000003</v>
      </c>
      <c r="G9" s="4" t="s">
        <v>11</v>
      </c>
      <c r="H9" s="4" t="s">
        <v>11</v>
      </c>
      <c r="I9" s="4">
        <v>0</v>
      </c>
    </row>
    <row r="10" spans="1:9" x14ac:dyDescent="0.3">
      <c r="A10" s="1" t="s">
        <v>39</v>
      </c>
      <c r="B10" s="4" t="s">
        <v>31</v>
      </c>
      <c r="C10" s="4">
        <v>0.30409999999999998</v>
      </c>
      <c r="D10" s="4">
        <v>-0.1</v>
      </c>
      <c r="E10" s="4">
        <v>0.2218395564221301</v>
      </c>
      <c r="F10" s="4">
        <v>0.15240000000000001</v>
      </c>
      <c r="G10" s="4" t="s">
        <v>11</v>
      </c>
      <c r="H10" s="4" t="s">
        <v>11</v>
      </c>
      <c r="I10" s="4">
        <v>0</v>
      </c>
    </row>
    <row r="11" spans="1:9" x14ac:dyDescent="0.3">
      <c r="A11" s="1" t="s">
        <v>20</v>
      </c>
      <c r="B11" s="4" t="s">
        <v>10</v>
      </c>
      <c r="C11" s="4">
        <v>0.8145</v>
      </c>
      <c r="D11" s="4">
        <v>3.3012000000000001</v>
      </c>
      <c r="E11" s="4">
        <v>0.80988942237387285</v>
      </c>
      <c r="F11" s="4">
        <v>0.79990000000000006</v>
      </c>
      <c r="G11" s="4" t="s">
        <v>11</v>
      </c>
      <c r="H11" s="4" t="s">
        <v>11</v>
      </c>
      <c r="I11" s="4">
        <v>0</v>
      </c>
    </row>
    <row r="12" spans="1:9" x14ac:dyDescent="0.3">
      <c r="A12" s="1" t="s">
        <v>21</v>
      </c>
      <c r="B12" s="4" t="s">
        <v>10</v>
      </c>
      <c r="C12" s="4">
        <v>0.54239999999999999</v>
      </c>
      <c r="D12" s="4">
        <v>1.0004999999999999</v>
      </c>
      <c r="E12" s="4">
        <v>0.53681754813551052</v>
      </c>
      <c r="F12" s="4">
        <v>0.52969999999999995</v>
      </c>
      <c r="G12" s="4" t="s">
        <v>11</v>
      </c>
      <c r="H12" s="4" t="s">
        <v>11</v>
      </c>
      <c r="I12" s="4">
        <v>0</v>
      </c>
    </row>
    <row r="13" spans="1:9" x14ac:dyDescent="0.3">
      <c r="A13" s="1" t="s">
        <v>22</v>
      </c>
      <c r="B13" s="4" t="s">
        <v>10</v>
      </c>
      <c r="C13" s="4">
        <v>0.84919999999999995</v>
      </c>
      <c r="D13" s="4">
        <v>1.5291999999999999</v>
      </c>
      <c r="E13" s="4">
        <v>0.8432107969778212</v>
      </c>
      <c r="F13" s="4">
        <v>0.82679999999999998</v>
      </c>
      <c r="G13" s="4" t="s">
        <v>11</v>
      </c>
      <c r="H13" s="4" t="s">
        <v>11</v>
      </c>
      <c r="I13" s="4">
        <v>0</v>
      </c>
    </row>
    <row r="14" spans="1:9" x14ac:dyDescent="0.3">
      <c r="A14" s="1" t="s">
        <v>23</v>
      </c>
      <c r="B14" s="4" t="s">
        <v>10</v>
      </c>
      <c r="C14" s="4">
        <v>0.77580000000000005</v>
      </c>
      <c r="D14" s="4">
        <v>3.8132000000000001</v>
      </c>
      <c r="E14" s="4">
        <v>0.75606336826712162</v>
      </c>
      <c r="F14" s="4">
        <v>0.73399999999999999</v>
      </c>
      <c r="G14" s="4" t="s">
        <v>11</v>
      </c>
      <c r="H14" s="4" t="s">
        <v>11</v>
      </c>
      <c r="I14" s="4">
        <v>0</v>
      </c>
    </row>
    <row r="15" spans="1:9" x14ac:dyDescent="0.3">
      <c r="A15" s="1" t="s">
        <v>24</v>
      </c>
      <c r="B15" s="4" t="s">
        <v>10</v>
      </c>
      <c r="C15" s="4">
        <v>0.74539999999999995</v>
      </c>
      <c r="D15" s="4">
        <v>3.3222</v>
      </c>
      <c r="E15" s="4">
        <v>0.74028917864976851</v>
      </c>
      <c r="F15" s="4">
        <v>0.72960000000000003</v>
      </c>
      <c r="G15" s="4" t="s">
        <v>11</v>
      </c>
      <c r="H15" s="4" t="s">
        <v>11</v>
      </c>
      <c r="I15" s="4">
        <v>0</v>
      </c>
    </row>
    <row r="16" spans="1:9" x14ac:dyDescent="0.3">
      <c r="A16" s="1" t="s">
        <v>25</v>
      </c>
      <c r="B16" s="4" t="s">
        <v>10</v>
      </c>
      <c r="C16" s="4">
        <v>0.81269999999999998</v>
      </c>
      <c r="D16" s="4">
        <v>3.8031999999999999</v>
      </c>
      <c r="E16" s="4">
        <v>0.80318562027784546</v>
      </c>
      <c r="F16" s="4">
        <v>0.79139999999999999</v>
      </c>
      <c r="G16" s="4" t="s">
        <v>11</v>
      </c>
      <c r="H16" s="4" t="s">
        <v>11</v>
      </c>
      <c r="I16" s="4">
        <v>0</v>
      </c>
    </row>
    <row r="17" spans="1:9" x14ac:dyDescent="0.3">
      <c r="A17" s="1" t="s">
        <v>26</v>
      </c>
      <c r="B17" s="4" t="s">
        <v>10</v>
      </c>
      <c r="C17" s="4">
        <v>0.9617</v>
      </c>
      <c r="D17" s="4">
        <v>3.2262</v>
      </c>
      <c r="E17" s="4">
        <v>0.95661342919814774</v>
      </c>
      <c r="F17" s="4">
        <v>0.94440000000000002</v>
      </c>
      <c r="G17" s="4" t="s">
        <v>11</v>
      </c>
      <c r="H17" s="4" t="s">
        <v>11</v>
      </c>
      <c r="I17" s="4">
        <v>0</v>
      </c>
    </row>
    <row r="18" spans="1:9" x14ac:dyDescent="0.3">
      <c r="A18" s="1" t="s">
        <v>27</v>
      </c>
      <c r="B18" s="4" t="s">
        <v>10</v>
      </c>
      <c r="C18" s="4">
        <v>0.34079999999999999</v>
      </c>
      <c r="D18" s="4">
        <v>2.0162</v>
      </c>
      <c r="E18" s="4">
        <v>0.33559068973921508</v>
      </c>
      <c r="F18" s="4">
        <v>0.3271</v>
      </c>
      <c r="G18" s="4" t="s">
        <v>11</v>
      </c>
      <c r="H18" s="4" t="s">
        <v>11</v>
      </c>
      <c r="I18" s="4">
        <v>0</v>
      </c>
    </row>
    <row r="19" spans="1:9" x14ac:dyDescent="0.3">
      <c r="A19" s="1" t="s">
        <v>28</v>
      </c>
      <c r="B19" s="4" t="s">
        <v>10</v>
      </c>
      <c r="C19" s="4">
        <v>0.66759999999999997</v>
      </c>
      <c r="D19" s="4">
        <v>3.3681999999999999</v>
      </c>
      <c r="E19" s="4">
        <v>0.66321079697782115</v>
      </c>
      <c r="F19" s="4">
        <v>0.65259999999999996</v>
      </c>
      <c r="G19" s="4" t="s">
        <v>11</v>
      </c>
      <c r="H19" s="4" t="s">
        <v>11</v>
      </c>
      <c r="I19" s="4">
        <v>0</v>
      </c>
    </row>
    <row r="20" spans="1:9" x14ac:dyDescent="0.3">
      <c r="A20" s="1" t="s">
        <v>29</v>
      </c>
      <c r="B20" s="4" t="s">
        <v>10</v>
      </c>
      <c r="C20" s="4">
        <v>0.8659</v>
      </c>
      <c r="D20" s="4">
        <v>1.9201999999999999</v>
      </c>
      <c r="E20" s="4">
        <v>0.86031827930782345</v>
      </c>
      <c r="F20" s="4">
        <v>0.85219999999999996</v>
      </c>
      <c r="G20" s="4" t="s">
        <v>11</v>
      </c>
      <c r="H20" s="4" t="s">
        <v>11</v>
      </c>
      <c r="I20" s="4">
        <v>0</v>
      </c>
    </row>
    <row r="23" spans="1:9" x14ac:dyDescent="0.3">
      <c r="A23" s="6"/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</row>
    <row r="24" spans="1:9" x14ac:dyDescent="0.3">
      <c r="A24" s="9" t="s">
        <v>56</v>
      </c>
      <c r="B24" s="9">
        <f>MAX(C2:C20)</f>
        <v>0.9617</v>
      </c>
      <c r="C24" s="9" t="str">
        <f>INDEX(Tabla3[Maquina],MATCH(B24,Tabla3[I_max '[pu']],0))</f>
        <v>Nueva Renca</v>
      </c>
      <c r="D24" s="9">
        <f>INDEX(Tabla3[I_max en t '[s']],MATCH(B24,Tabla3[I_max '[pu']],0))</f>
        <v>3.2262</v>
      </c>
      <c r="E24" s="9">
        <f>COUNTIF(G2:G20,"Si")</f>
        <v>0</v>
      </c>
      <c r="F24" s="9">
        <f>COUNTIF(H2:H20,"Si")</f>
        <v>0</v>
      </c>
      <c r="G24" s="10">
        <f>AVERAGE(Tabla3[I_max '[pu']])</f>
        <v>0.69155789473684204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4734-E24E-4496-89A8-9FFE2467E86E}">
  <dimension ref="A1:I24"/>
  <sheetViews>
    <sheetView workbookViewId="0">
      <selection activeCell="D24" sqref="D24"/>
    </sheetView>
  </sheetViews>
  <sheetFormatPr baseColWidth="10" defaultRowHeight="14.4" x14ac:dyDescent="0.3"/>
  <cols>
    <col min="1" max="1" width="19.5546875" bestFit="1" customWidth="1"/>
    <col min="2" max="3" width="14.5546875" bestFit="1" customWidth="1"/>
    <col min="4" max="4" width="16.77734375" bestFit="1" customWidth="1"/>
    <col min="5" max="5" width="15.77734375" bestFit="1" customWidth="1"/>
    <col min="6" max="6" width="14.21875" bestFit="1" customWidth="1"/>
    <col min="7" max="7" width="23.88671875" bestFit="1" customWidth="1"/>
    <col min="8" max="8" width="22.109375" bestFit="1" customWidth="1"/>
    <col min="9" max="9" width="24.6640625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30</v>
      </c>
      <c r="B2" s="5" t="s">
        <v>31</v>
      </c>
      <c r="C2" s="5">
        <v>0.752</v>
      </c>
      <c r="D2" s="5">
        <v>-0.1</v>
      </c>
      <c r="E2" s="5">
        <v>0.70794679502802826</v>
      </c>
      <c r="F2" s="5">
        <v>0.66469999999999996</v>
      </c>
      <c r="G2" s="5" t="s">
        <v>11</v>
      </c>
      <c r="H2" s="5" t="s">
        <v>11</v>
      </c>
      <c r="I2" s="5">
        <v>0</v>
      </c>
    </row>
    <row r="3" spans="1:9" x14ac:dyDescent="0.3">
      <c r="A3" s="1" t="s">
        <v>32</v>
      </c>
      <c r="B3" s="5" t="s">
        <v>31</v>
      </c>
      <c r="C3" s="5">
        <v>0.6472</v>
      </c>
      <c r="D3" s="5">
        <v>-0.1</v>
      </c>
      <c r="E3" s="5">
        <v>0.60306582988057511</v>
      </c>
      <c r="F3" s="5">
        <v>0.56100000000000005</v>
      </c>
      <c r="G3" s="5" t="s">
        <v>11</v>
      </c>
      <c r="H3" s="5" t="s">
        <v>11</v>
      </c>
      <c r="I3" s="5">
        <v>0</v>
      </c>
    </row>
    <row r="4" spans="1:9" x14ac:dyDescent="0.3">
      <c r="A4" s="1" t="s">
        <v>33</v>
      </c>
      <c r="B4" s="5" t="s">
        <v>31</v>
      </c>
      <c r="C4" s="5">
        <v>0.36919999999999997</v>
      </c>
      <c r="D4" s="5">
        <v>1.0012000000000001</v>
      </c>
      <c r="E4" s="5">
        <v>0.29913482817450637</v>
      </c>
      <c r="F4" s="5">
        <v>0.2576</v>
      </c>
      <c r="G4" s="5" t="s">
        <v>11</v>
      </c>
      <c r="H4" s="5" t="s">
        <v>11</v>
      </c>
      <c r="I4" s="5">
        <v>0</v>
      </c>
    </row>
    <row r="5" spans="1:9" x14ac:dyDescent="0.3">
      <c r="A5" s="1" t="s">
        <v>34</v>
      </c>
      <c r="B5" s="5" t="s">
        <v>31</v>
      </c>
      <c r="C5" s="5">
        <v>0.75249999999999995</v>
      </c>
      <c r="D5" s="5">
        <v>1.0791999999999999</v>
      </c>
      <c r="E5" s="5">
        <v>0.70795466731659762</v>
      </c>
      <c r="F5" s="5">
        <v>0.66449999999999998</v>
      </c>
      <c r="G5" s="5" t="s">
        <v>11</v>
      </c>
      <c r="H5" s="5" t="s">
        <v>11</v>
      </c>
      <c r="I5" s="5">
        <v>0</v>
      </c>
    </row>
    <row r="6" spans="1:9" x14ac:dyDescent="0.3">
      <c r="A6" s="1" t="s">
        <v>35</v>
      </c>
      <c r="B6" s="5" t="s">
        <v>31</v>
      </c>
      <c r="C6" s="5">
        <v>0.78310000000000002</v>
      </c>
      <c r="D6" s="5">
        <v>1.0731999999999999</v>
      </c>
      <c r="E6" s="5">
        <v>0.71186080916402639</v>
      </c>
      <c r="F6" s="5">
        <v>0.65959999999999996</v>
      </c>
      <c r="G6" s="5" t="s">
        <v>11</v>
      </c>
      <c r="H6" s="5" t="s">
        <v>11</v>
      </c>
      <c r="I6" s="5">
        <v>0</v>
      </c>
    </row>
    <row r="7" spans="1:9" x14ac:dyDescent="0.3">
      <c r="A7" s="1" t="s">
        <v>36</v>
      </c>
      <c r="B7" s="5" t="s">
        <v>31</v>
      </c>
      <c r="C7" s="5">
        <v>0.81899999999999995</v>
      </c>
      <c r="D7" s="5">
        <v>1.0012000000000001</v>
      </c>
      <c r="E7" s="5">
        <v>0.74581640263222015</v>
      </c>
      <c r="F7" s="5">
        <v>0.70330000000000004</v>
      </c>
      <c r="G7" s="5" t="s">
        <v>11</v>
      </c>
      <c r="H7" s="5" t="s">
        <v>11</v>
      </c>
      <c r="I7" s="5">
        <v>0</v>
      </c>
    </row>
    <row r="8" spans="1:9" x14ac:dyDescent="0.3">
      <c r="A8" s="1" t="s">
        <v>37</v>
      </c>
      <c r="B8" s="5" t="s">
        <v>31</v>
      </c>
      <c r="C8" s="5">
        <v>0.48749999999999999</v>
      </c>
      <c r="D8" s="5">
        <v>1.0182</v>
      </c>
      <c r="E8" s="5">
        <v>0.41762144772117971</v>
      </c>
      <c r="F8" s="5">
        <v>0.3896</v>
      </c>
      <c r="G8" s="5" t="s">
        <v>11</v>
      </c>
      <c r="H8" s="5" t="s">
        <v>11</v>
      </c>
      <c r="I8" s="5">
        <v>0</v>
      </c>
    </row>
    <row r="9" spans="1:9" x14ac:dyDescent="0.3">
      <c r="A9" s="1" t="s">
        <v>38</v>
      </c>
      <c r="B9" s="5" t="s">
        <v>31</v>
      </c>
      <c r="C9" s="5">
        <v>0.8417</v>
      </c>
      <c r="D9" s="5">
        <v>1.0012000000000001</v>
      </c>
      <c r="E9" s="5">
        <v>0.79517730928588826</v>
      </c>
      <c r="F9" s="5">
        <v>0.75570000000000004</v>
      </c>
      <c r="G9" s="5" t="s">
        <v>11</v>
      </c>
      <c r="H9" s="5" t="s">
        <v>11</v>
      </c>
      <c r="I9" s="5">
        <v>0</v>
      </c>
    </row>
    <row r="10" spans="1:9" x14ac:dyDescent="0.3">
      <c r="A10" s="1" t="s">
        <v>39</v>
      </c>
      <c r="B10" s="5" t="s">
        <v>31</v>
      </c>
      <c r="C10" s="5">
        <v>0.30170000000000002</v>
      </c>
      <c r="D10" s="5">
        <v>-0.1</v>
      </c>
      <c r="E10" s="5">
        <v>0.26013821593955638</v>
      </c>
      <c r="F10" s="5">
        <v>0.2177</v>
      </c>
      <c r="G10" s="5" t="s">
        <v>11</v>
      </c>
      <c r="H10" s="5" t="s">
        <v>11</v>
      </c>
      <c r="I10" s="5">
        <v>0</v>
      </c>
    </row>
    <row r="11" spans="1:9" x14ac:dyDescent="0.3">
      <c r="A11" s="1" t="s">
        <v>40</v>
      </c>
      <c r="B11" s="5" t="s">
        <v>31</v>
      </c>
      <c r="C11" s="5">
        <v>0.81459999999999999</v>
      </c>
      <c r="D11" s="5">
        <v>1.0012000000000001</v>
      </c>
      <c r="E11" s="5">
        <v>0.77388169631976611</v>
      </c>
      <c r="F11" s="5">
        <v>0.73309999999999997</v>
      </c>
      <c r="G11" s="5" t="s">
        <v>11</v>
      </c>
      <c r="H11" s="5" t="s">
        <v>11</v>
      </c>
      <c r="I11" s="5">
        <v>0</v>
      </c>
    </row>
    <row r="12" spans="1:9" x14ac:dyDescent="0.3">
      <c r="A12" s="1" t="s">
        <v>41</v>
      </c>
      <c r="B12" s="5" t="s">
        <v>31</v>
      </c>
      <c r="C12" s="5">
        <v>0.58850000000000002</v>
      </c>
      <c r="D12" s="5">
        <v>1.0331999999999999</v>
      </c>
      <c r="E12" s="5">
        <v>0.55658096514745303</v>
      </c>
      <c r="F12" s="5">
        <v>0.53300000000000003</v>
      </c>
      <c r="G12" s="5" t="s">
        <v>11</v>
      </c>
      <c r="H12" s="5" t="s">
        <v>11</v>
      </c>
      <c r="I12" s="5">
        <v>0</v>
      </c>
    </row>
    <row r="13" spans="1:9" x14ac:dyDescent="0.3">
      <c r="A13" s="1" t="s">
        <v>42</v>
      </c>
      <c r="B13" s="5" t="s">
        <v>31</v>
      </c>
      <c r="C13" s="5">
        <v>0.88009999999999999</v>
      </c>
      <c r="D13" s="5">
        <v>1.0022</v>
      </c>
      <c r="E13" s="5">
        <v>0.81673958079454045</v>
      </c>
      <c r="F13" s="5">
        <v>0.78410000000000002</v>
      </c>
      <c r="G13" s="5" t="s">
        <v>11</v>
      </c>
      <c r="H13" s="5" t="s">
        <v>11</v>
      </c>
      <c r="I13" s="5">
        <v>0</v>
      </c>
    </row>
    <row r="14" spans="1:9" x14ac:dyDescent="0.3">
      <c r="A14" s="1" t="s">
        <v>43</v>
      </c>
      <c r="B14" s="5" t="s">
        <v>31</v>
      </c>
      <c r="C14" s="5">
        <v>0.76160000000000005</v>
      </c>
      <c r="D14" s="5">
        <v>1.0132000000000001</v>
      </c>
      <c r="E14" s="5">
        <v>0.72821223495003662</v>
      </c>
      <c r="F14" s="5">
        <v>0.6976</v>
      </c>
      <c r="G14" s="5" t="s">
        <v>11</v>
      </c>
      <c r="H14" s="5" t="s">
        <v>11</v>
      </c>
      <c r="I14" s="5">
        <v>0</v>
      </c>
    </row>
    <row r="15" spans="1:9" x14ac:dyDescent="0.3">
      <c r="A15" s="1" t="s">
        <v>44</v>
      </c>
      <c r="B15" s="5" t="s">
        <v>31</v>
      </c>
      <c r="C15" s="5">
        <v>0.74399999999999999</v>
      </c>
      <c r="D15" s="5">
        <v>1.0012000000000001</v>
      </c>
      <c r="E15" s="5">
        <v>0.70255649524737995</v>
      </c>
      <c r="F15" s="5">
        <v>0.66279999999999994</v>
      </c>
      <c r="G15" s="5" t="s">
        <v>11</v>
      </c>
      <c r="H15" s="5" t="s">
        <v>11</v>
      </c>
      <c r="I15" s="5">
        <v>0</v>
      </c>
    </row>
    <row r="16" spans="1:9" x14ac:dyDescent="0.3">
      <c r="A16" s="1" t="s">
        <v>25</v>
      </c>
      <c r="B16" s="5" t="s">
        <v>10</v>
      </c>
      <c r="C16" s="5">
        <v>0.84130000000000005</v>
      </c>
      <c r="D16" s="5">
        <v>2.0291999999999999</v>
      </c>
      <c r="E16" s="5">
        <v>0.83519376066292961</v>
      </c>
      <c r="F16" s="5">
        <v>0.82909999999999995</v>
      </c>
      <c r="G16" s="5" t="s">
        <v>11</v>
      </c>
      <c r="H16" s="5" t="s">
        <v>11</v>
      </c>
      <c r="I16" s="5">
        <v>0</v>
      </c>
    </row>
    <row r="17" spans="1:9" x14ac:dyDescent="0.3">
      <c r="A17" s="1" t="s">
        <v>26</v>
      </c>
      <c r="B17" s="5" t="s">
        <v>10</v>
      </c>
      <c r="C17" s="5">
        <v>0.97899999999999998</v>
      </c>
      <c r="D17" s="5">
        <v>2.0242</v>
      </c>
      <c r="E17" s="5">
        <v>0.9739587131367291</v>
      </c>
      <c r="F17" s="5">
        <v>0.96120000000000005</v>
      </c>
      <c r="G17" s="5" t="s">
        <v>11</v>
      </c>
      <c r="H17" s="5" t="s">
        <v>11</v>
      </c>
      <c r="I17" s="5">
        <v>0</v>
      </c>
    </row>
    <row r="18" spans="1:9" x14ac:dyDescent="0.3">
      <c r="A18" s="1" t="s">
        <v>27</v>
      </c>
      <c r="B18" s="5" t="s">
        <v>10</v>
      </c>
      <c r="C18" s="5">
        <v>0.34970000000000001</v>
      </c>
      <c r="D18" s="5">
        <v>1.9792000000000001</v>
      </c>
      <c r="E18" s="5">
        <v>0.34361825493541309</v>
      </c>
      <c r="F18" s="5">
        <v>0.3362</v>
      </c>
      <c r="G18" s="5" t="s">
        <v>11</v>
      </c>
      <c r="H18" s="5" t="s">
        <v>11</v>
      </c>
      <c r="I18" s="5">
        <v>0</v>
      </c>
    </row>
    <row r="19" spans="1:9" x14ac:dyDescent="0.3">
      <c r="A19" s="1" t="s">
        <v>28</v>
      </c>
      <c r="B19" s="5" t="s">
        <v>10</v>
      </c>
      <c r="C19" s="5">
        <v>0.69720000000000004</v>
      </c>
      <c r="D19" s="5">
        <v>1.9532</v>
      </c>
      <c r="E19" s="5">
        <v>0.69225135266877902</v>
      </c>
      <c r="F19" s="5">
        <v>0.6845</v>
      </c>
      <c r="G19" s="5" t="s">
        <v>11</v>
      </c>
      <c r="H19" s="5" t="s">
        <v>11</v>
      </c>
      <c r="I19" s="5">
        <v>0</v>
      </c>
    </row>
    <row r="20" spans="1:9" x14ac:dyDescent="0.3">
      <c r="A20" s="1" t="s">
        <v>29</v>
      </c>
      <c r="B20" s="5" t="s">
        <v>10</v>
      </c>
      <c r="C20" s="5">
        <v>0.86939999999999995</v>
      </c>
      <c r="D20" s="5">
        <v>1.8972</v>
      </c>
      <c r="E20" s="5">
        <v>0.86336122349500377</v>
      </c>
      <c r="F20" s="5">
        <v>0.85550000000000004</v>
      </c>
      <c r="G20" s="5" t="s">
        <v>11</v>
      </c>
      <c r="H20" s="5" t="s">
        <v>11</v>
      </c>
      <c r="I20" s="5">
        <v>0</v>
      </c>
    </row>
    <row r="23" spans="1:9" x14ac:dyDescent="0.3">
      <c r="A23" s="6"/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</row>
    <row r="24" spans="1:9" x14ac:dyDescent="0.3">
      <c r="A24" s="9" t="s">
        <v>56</v>
      </c>
      <c r="B24" s="9">
        <f>MAX(C2:C20)</f>
        <v>0.97899999999999998</v>
      </c>
      <c r="C24" s="9" t="str">
        <f>INDEX(Tabla4[Maquina],MATCH(B24,Tabla4[I_max '[pu']],0))</f>
        <v>Nueva Renca</v>
      </c>
      <c r="D24" s="9">
        <f>INDEX(Tabla4[I_max en t '[s']],MATCH(B24,Tabla4[I_max '[pu']],0))</f>
        <v>2.0242</v>
      </c>
      <c r="E24" s="9">
        <f>COUNTIF(G2:G20,"Si")</f>
        <v>0</v>
      </c>
      <c r="F24" s="9">
        <f>COUNTIF(H2:H20,"Si")</f>
        <v>0</v>
      </c>
      <c r="G24" s="10">
        <f>AVERAGE(Tabla4[I_max '[pu']])</f>
        <v>0.69891052631578954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44EA-6EEB-46F6-AFD8-3765485E8518}">
  <dimension ref="A1:I24"/>
  <sheetViews>
    <sheetView workbookViewId="0">
      <selection activeCell="B24" sqref="B24:G24"/>
    </sheetView>
  </sheetViews>
  <sheetFormatPr baseColWidth="10" defaultRowHeight="14.4" x14ac:dyDescent="0.3"/>
  <cols>
    <col min="1" max="1" width="19.5546875" bestFit="1" customWidth="1"/>
    <col min="2" max="3" width="14.5546875" bestFit="1" customWidth="1"/>
    <col min="4" max="4" width="16.77734375" bestFit="1" customWidth="1"/>
    <col min="5" max="5" width="15.77734375" bestFit="1" customWidth="1"/>
    <col min="6" max="6" width="14.21875" bestFit="1" customWidth="1"/>
    <col min="7" max="7" width="23.88671875" bestFit="1" customWidth="1"/>
    <col min="8" max="8" width="22.109375" bestFit="1" customWidth="1"/>
    <col min="9" max="9" width="24.6640625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1" t="s">
        <v>30</v>
      </c>
      <c r="B2" s="6" t="s">
        <v>31</v>
      </c>
      <c r="C2" s="6">
        <v>0.752</v>
      </c>
      <c r="D2" s="6">
        <v>-0.1</v>
      </c>
      <c r="E2" s="6">
        <v>0.72874751461988307</v>
      </c>
      <c r="F2" s="6">
        <v>0.66900000000000004</v>
      </c>
      <c r="G2" s="6" t="s">
        <v>11</v>
      </c>
      <c r="H2" s="6" t="s">
        <v>11</v>
      </c>
      <c r="I2" s="6">
        <v>0</v>
      </c>
    </row>
    <row r="3" spans="1:9" x14ac:dyDescent="0.3">
      <c r="A3" s="1" t="s">
        <v>32</v>
      </c>
      <c r="B3" s="6" t="s">
        <v>31</v>
      </c>
      <c r="C3" s="6">
        <v>0.6472</v>
      </c>
      <c r="D3" s="6">
        <v>-0.1</v>
      </c>
      <c r="E3" s="6">
        <v>0.62359410331384013</v>
      </c>
      <c r="F3" s="6">
        <v>0.56499999999999995</v>
      </c>
      <c r="G3" s="6" t="s">
        <v>11</v>
      </c>
      <c r="H3" s="6" t="s">
        <v>11</v>
      </c>
      <c r="I3" s="6">
        <v>0</v>
      </c>
    </row>
    <row r="4" spans="1:9" x14ac:dyDescent="0.3">
      <c r="A4" s="1" t="s">
        <v>33</v>
      </c>
      <c r="B4" s="6" t="s">
        <v>31</v>
      </c>
      <c r="C4" s="6">
        <v>0.36919999999999997</v>
      </c>
      <c r="D4" s="6">
        <v>1.0004999999999999</v>
      </c>
      <c r="E4" s="6">
        <v>0.31858937621832362</v>
      </c>
      <c r="F4" s="6">
        <v>0.26240000000000002</v>
      </c>
      <c r="G4" s="6" t="s">
        <v>11</v>
      </c>
      <c r="H4" s="6" t="s">
        <v>11</v>
      </c>
      <c r="I4" s="6">
        <v>0</v>
      </c>
    </row>
    <row r="5" spans="1:9" x14ac:dyDescent="0.3">
      <c r="A5" s="1" t="s">
        <v>34</v>
      </c>
      <c r="B5" s="6" t="s">
        <v>31</v>
      </c>
      <c r="C5" s="6">
        <v>0.754</v>
      </c>
      <c r="D5" s="6">
        <v>1.0811999999999999</v>
      </c>
      <c r="E5" s="6">
        <v>0.72875896686159836</v>
      </c>
      <c r="F5" s="6">
        <v>0.66879999999999995</v>
      </c>
      <c r="G5" s="6" t="s">
        <v>11</v>
      </c>
      <c r="H5" s="6" t="s">
        <v>11</v>
      </c>
      <c r="I5" s="6">
        <v>0</v>
      </c>
    </row>
    <row r="6" spans="1:9" x14ac:dyDescent="0.3">
      <c r="A6" s="1" t="s">
        <v>35</v>
      </c>
      <c r="B6" s="6" t="s">
        <v>31</v>
      </c>
      <c r="C6" s="6">
        <v>0.7843</v>
      </c>
      <c r="D6" s="6">
        <v>1.0771999999999999</v>
      </c>
      <c r="E6" s="6">
        <v>0.7322216374269005</v>
      </c>
      <c r="F6" s="6">
        <v>0.66459999999999997</v>
      </c>
      <c r="G6" s="6" t="s">
        <v>11</v>
      </c>
      <c r="H6" s="6" t="s">
        <v>11</v>
      </c>
      <c r="I6" s="6">
        <v>0</v>
      </c>
    </row>
    <row r="7" spans="1:9" x14ac:dyDescent="0.3">
      <c r="A7" s="1" t="s">
        <v>36</v>
      </c>
      <c r="B7" s="6" t="s">
        <v>31</v>
      </c>
      <c r="C7" s="6">
        <v>0.81930000000000003</v>
      </c>
      <c r="D7" s="6">
        <v>1.0331999999999999</v>
      </c>
      <c r="E7" s="6">
        <v>0.76396196393762184</v>
      </c>
      <c r="F7" s="6">
        <v>0.70799999999999996</v>
      </c>
      <c r="G7" s="6" t="s">
        <v>11</v>
      </c>
      <c r="H7" s="6" t="s">
        <v>11</v>
      </c>
      <c r="I7" s="6">
        <v>0</v>
      </c>
    </row>
    <row r="8" spans="1:9" x14ac:dyDescent="0.3">
      <c r="A8" s="1" t="s">
        <v>37</v>
      </c>
      <c r="B8" s="6" t="s">
        <v>31</v>
      </c>
      <c r="C8" s="6">
        <v>0.48759999999999998</v>
      </c>
      <c r="D8" s="6">
        <v>1.0242</v>
      </c>
      <c r="E8" s="6">
        <v>0.42919254385964911</v>
      </c>
      <c r="F8" s="6">
        <v>0.39240000000000003</v>
      </c>
      <c r="G8" s="6" t="s">
        <v>11</v>
      </c>
      <c r="H8" s="6" t="s">
        <v>11</v>
      </c>
      <c r="I8" s="6">
        <v>0</v>
      </c>
    </row>
    <row r="9" spans="1:9" x14ac:dyDescent="0.3">
      <c r="A9" s="1" t="s">
        <v>38</v>
      </c>
      <c r="B9" s="6" t="s">
        <v>31</v>
      </c>
      <c r="C9" s="6">
        <v>0.84179999999999999</v>
      </c>
      <c r="D9" s="6">
        <v>1.0004999999999999</v>
      </c>
      <c r="E9" s="6">
        <v>0.81525397173489278</v>
      </c>
      <c r="F9" s="6">
        <v>0.76049999999999995</v>
      </c>
      <c r="G9" s="6" t="s">
        <v>11</v>
      </c>
      <c r="H9" s="6" t="s">
        <v>11</v>
      </c>
      <c r="I9" s="6">
        <v>0</v>
      </c>
    </row>
    <row r="10" spans="1:9" x14ac:dyDescent="0.3">
      <c r="A10" s="1" t="s">
        <v>39</v>
      </c>
      <c r="B10" s="6" t="s">
        <v>31</v>
      </c>
      <c r="C10" s="6">
        <v>0.30170000000000002</v>
      </c>
      <c r="D10" s="6">
        <v>-0.1</v>
      </c>
      <c r="E10" s="6">
        <v>0.28245046296296289</v>
      </c>
      <c r="F10" s="6">
        <v>0.26100000000000001</v>
      </c>
      <c r="G10" s="6" t="s">
        <v>11</v>
      </c>
      <c r="H10" s="6" t="s">
        <v>11</v>
      </c>
      <c r="I10" s="6">
        <v>0</v>
      </c>
    </row>
    <row r="11" spans="1:9" x14ac:dyDescent="0.3">
      <c r="A11" s="1" t="s">
        <v>40</v>
      </c>
      <c r="B11" s="6" t="s">
        <v>31</v>
      </c>
      <c r="C11" s="6">
        <v>0.81310000000000004</v>
      </c>
      <c r="D11" s="6">
        <v>1.0004999999999999</v>
      </c>
      <c r="E11" s="6">
        <v>0.79504113060428871</v>
      </c>
      <c r="F11" s="6">
        <v>0.7792</v>
      </c>
      <c r="G11" s="6" t="s">
        <v>11</v>
      </c>
      <c r="H11" s="6" t="s">
        <v>11</v>
      </c>
      <c r="I11" s="6">
        <v>0</v>
      </c>
    </row>
    <row r="12" spans="1:9" x14ac:dyDescent="0.3">
      <c r="A12" s="1" t="s">
        <v>41</v>
      </c>
      <c r="B12" s="6" t="s">
        <v>31</v>
      </c>
      <c r="C12" s="6">
        <v>0.58699999999999997</v>
      </c>
      <c r="D12" s="6">
        <v>1.0291999999999999</v>
      </c>
      <c r="E12" s="6">
        <v>0.57114690545808966</v>
      </c>
      <c r="F12" s="6">
        <v>0.56240000000000001</v>
      </c>
      <c r="G12" s="6" t="s">
        <v>11</v>
      </c>
      <c r="H12" s="6" t="s">
        <v>11</v>
      </c>
      <c r="I12" s="6">
        <v>0</v>
      </c>
    </row>
    <row r="13" spans="1:9" x14ac:dyDescent="0.3">
      <c r="A13" s="1" t="s">
        <v>42</v>
      </c>
      <c r="B13" s="6" t="s">
        <v>31</v>
      </c>
      <c r="C13" s="6">
        <v>0.88009999999999999</v>
      </c>
      <c r="D13" s="6">
        <v>1.0012000000000001</v>
      </c>
      <c r="E13" s="6">
        <v>0.83355082846003903</v>
      </c>
      <c r="F13" s="6">
        <v>0.78810000000000002</v>
      </c>
      <c r="G13" s="6" t="s">
        <v>11</v>
      </c>
      <c r="H13" s="6" t="s">
        <v>11</v>
      </c>
      <c r="I13" s="6">
        <v>0</v>
      </c>
    </row>
    <row r="14" spans="1:9" x14ac:dyDescent="0.3">
      <c r="A14" s="1" t="s">
        <v>43</v>
      </c>
      <c r="B14" s="6" t="s">
        <v>31</v>
      </c>
      <c r="C14" s="6">
        <v>0.76149999999999995</v>
      </c>
      <c r="D14" s="6">
        <v>1.0511999999999999</v>
      </c>
      <c r="E14" s="6">
        <v>0.74971603313840152</v>
      </c>
      <c r="F14" s="6">
        <v>0.73870000000000002</v>
      </c>
      <c r="G14" s="6" t="s">
        <v>11</v>
      </c>
      <c r="H14" s="6" t="s">
        <v>11</v>
      </c>
      <c r="I14" s="6">
        <v>0</v>
      </c>
    </row>
    <row r="15" spans="1:9" x14ac:dyDescent="0.3">
      <c r="A15" s="1" t="s">
        <v>44</v>
      </c>
      <c r="B15" s="6" t="s">
        <v>31</v>
      </c>
      <c r="C15" s="6">
        <v>0.74370000000000003</v>
      </c>
      <c r="D15" s="6">
        <v>1.0004999999999999</v>
      </c>
      <c r="E15" s="6">
        <v>0.72448343079922017</v>
      </c>
      <c r="F15" s="6">
        <v>0.70689999999999997</v>
      </c>
      <c r="G15" s="6" t="s">
        <v>11</v>
      </c>
      <c r="H15" s="6" t="s">
        <v>11</v>
      </c>
      <c r="I15" s="6">
        <v>0</v>
      </c>
    </row>
    <row r="16" spans="1:9" x14ac:dyDescent="0.3">
      <c r="A16" s="1" t="s">
        <v>45</v>
      </c>
      <c r="B16" s="6" t="s">
        <v>31</v>
      </c>
      <c r="C16" s="6">
        <v>0.83540000000000003</v>
      </c>
      <c r="D16" s="6">
        <v>1.0132000000000001</v>
      </c>
      <c r="E16" s="6">
        <v>0.82462000487329434</v>
      </c>
      <c r="F16" s="6">
        <v>0.81710000000000005</v>
      </c>
      <c r="G16" s="6" t="s">
        <v>11</v>
      </c>
      <c r="H16" s="6" t="s">
        <v>11</v>
      </c>
      <c r="I16" s="6">
        <v>0</v>
      </c>
    </row>
    <row r="17" spans="1:9" x14ac:dyDescent="0.3">
      <c r="A17" s="1" t="s">
        <v>46</v>
      </c>
      <c r="B17" s="6" t="s">
        <v>31</v>
      </c>
      <c r="C17" s="6">
        <v>0.98270000000000002</v>
      </c>
      <c r="D17" s="6">
        <v>1.0004999999999999</v>
      </c>
      <c r="E17" s="6">
        <v>0.95874965886939567</v>
      </c>
      <c r="F17" s="6">
        <v>0.94010000000000005</v>
      </c>
      <c r="G17" s="6" t="s">
        <v>11</v>
      </c>
      <c r="H17" s="6" t="s">
        <v>11</v>
      </c>
      <c r="I17" s="6">
        <v>0</v>
      </c>
    </row>
    <row r="18" spans="1:9" x14ac:dyDescent="0.3">
      <c r="A18" s="1" t="s">
        <v>47</v>
      </c>
      <c r="B18" s="6" t="s">
        <v>31</v>
      </c>
      <c r="C18" s="6">
        <v>0.34670000000000001</v>
      </c>
      <c r="D18" s="6">
        <v>1.0004999999999999</v>
      </c>
      <c r="E18" s="6">
        <v>0.32822392787524363</v>
      </c>
      <c r="F18" s="6">
        <v>0.31259999999999999</v>
      </c>
      <c r="G18" s="6" t="s">
        <v>11</v>
      </c>
      <c r="H18" s="6" t="s">
        <v>11</v>
      </c>
      <c r="I18" s="6">
        <v>0</v>
      </c>
    </row>
    <row r="19" spans="1:9" x14ac:dyDescent="0.3">
      <c r="A19" s="1" t="s">
        <v>48</v>
      </c>
      <c r="B19" s="6" t="s">
        <v>31</v>
      </c>
      <c r="C19" s="6">
        <v>0.69730000000000003</v>
      </c>
      <c r="D19" s="6">
        <v>1.0242</v>
      </c>
      <c r="E19" s="6">
        <v>0.68147729044834304</v>
      </c>
      <c r="F19" s="6">
        <v>0.67110000000000003</v>
      </c>
      <c r="G19" s="6" t="s">
        <v>11</v>
      </c>
      <c r="H19" s="6" t="s">
        <v>11</v>
      </c>
      <c r="I19" s="6">
        <v>0</v>
      </c>
    </row>
    <row r="20" spans="1:9" x14ac:dyDescent="0.3">
      <c r="A20" s="1" t="s">
        <v>49</v>
      </c>
      <c r="B20" s="6" t="s">
        <v>31</v>
      </c>
      <c r="C20" s="6">
        <v>0.86560000000000004</v>
      </c>
      <c r="D20" s="6">
        <v>1.0004999999999999</v>
      </c>
      <c r="E20" s="6">
        <v>0.84767153996101363</v>
      </c>
      <c r="F20" s="6">
        <v>0.83240000000000003</v>
      </c>
      <c r="G20" s="6" t="s">
        <v>11</v>
      </c>
      <c r="H20" s="6" t="s">
        <v>11</v>
      </c>
      <c r="I20" s="6">
        <v>0</v>
      </c>
    </row>
    <row r="23" spans="1:9" x14ac:dyDescent="0.3">
      <c r="A23" s="6"/>
      <c r="B23" s="6" t="s">
        <v>50</v>
      </c>
      <c r="C23" s="6" t="s">
        <v>51</v>
      </c>
      <c r="D23" s="6" t="s">
        <v>52</v>
      </c>
      <c r="E23" s="6" t="s">
        <v>53</v>
      </c>
      <c r="F23" s="6" t="s">
        <v>54</v>
      </c>
      <c r="G23" s="6" t="s">
        <v>55</v>
      </c>
    </row>
    <row r="24" spans="1:9" x14ac:dyDescent="0.3">
      <c r="A24" s="9" t="s">
        <v>56</v>
      </c>
      <c r="B24" s="9">
        <f>MAX(C2:C20)</f>
        <v>0.98270000000000002</v>
      </c>
      <c r="C24" s="9" t="str">
        <f>INDEX(Tabla5[Maquina],MATCH(B24,Tabla5[I_max '[pu']],0))</f>
        <v>GFM Nueva Renca cc</v>
      </c>
      <c r="D24" s="9">
        <f>INDEX(Tabla5[I_max en t '[s']],MATCH(B24,Tabla5[I_max '[pu']],0))</f>
        <v>1.0004999999999999</v>
      </c>
      <c r="E24" s="9">
        <f>COUNTIF(G2:G20,"Si")</f>
        <v>0</v>
      </c>
      <c r="F24" s="9">
        <f>COUNTIF(H2:H20,"Si")</f>
        <v>0</v>
      </c>
      <c r="G24" s="10">
        <f>AVERAGE(Tabla5[I_max '[pu']])</f>
        <v>0.69843157894736851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85B3-CABA-4CD3-9C4B-AF6AC4DFEE4F}">
  <dimension ref="C3:J8"/>
  <sheetViews>
    <sheetView tabSelected="1" workbookViewId="0">
      <selection activeCell="C3" sqref="C3:J8"/>
    </sheetView>
  </sheetViews>
  <sheetFormatPr baseColWidth="10" defaultRowHeight="14.4" x14ac:dyDescent="0.3"/>
  <cols>
    <col min="3" max="3" width="14.77734375" bestFit="1" customWidth="1"/>
    <col min="4" max="4" width="22.33203125" bestFit="1" customWidth="1"/>
    <col min="5" max="5" width="17.88671875" bestFit="1" customWidth="1"/>
    <col min="6" max="6" width="18.109375" bestFit="1" customWidth="1"/>
    <col min="7" max="7" width="11.6640625" bestFit="1" customWidth="1"/>
    <col min="8" max="8" width="23.88671875" bestFit="1" customWidth="1"/>
    <col min="9" max="9" width="20.6640625" bestFit="1" customWidth="1"/>
    <col min="10" max="10" width="19.33203125" bestFit="1" customWidth="1"/>
  </cols>
  <sheetData>
    <row r="3" spans="3:10" x14ac:dyDescent="0.3">
      <c r="C3" s="6" t="s">
        <v>57</v>
      </c>
      <c r="D3" s="6" t="s">
        <v>58</v>
      </c>
      <c r="E3" s="6" t="s">
        <v>64</v>
      </c>
      <c r="F3" s="6" t="s">
        <v>51</v>
      </c>
      <c r="G3" s="6" t="s">
        <v>65</v>
      </c>
      <c r="H3" s="6" t="s">
        <v>55</v>
      </c>
      <c r="I3" s="6" t="s">
        <v>66</v>
      </c>
      <c r="J3" s="6" t="s">
        <v>67</v>
      </c>
    </row>
    <row r="4" spans="3:10" x14ac:dyDescent="0.3">
      <c r="C4" s="6" t="s">
        <v>59</v>
      </c>
      <c r="D4" s="6">
        <v>0</v>
      </c>
      <c r="E4" s="6">
        <v>0.9617</v>
      </c>
      <c r="F4" s="6" t="s">
        <v>26</v>
      </c>
      <c r="G4" s="6">
        <v>1.0049999999999999</v>
      </c>
      <c r="H4" s="6">
        <v>0.6883789473684212</v>
      </c>
      <c r="I4" s="6">
        <v>0</v>
      </c>
      <c r="J4" s="6">
        <v>0</v>
      </c>
    </row>
    <row r="5" spans="3:10" x14ac:dyDescent="0.3">
      <c r="C5" s="6" t="s">
        <v>60</v>
      </c>
      <c r="D5" s="6">
        <v>7</v>
      </c>
      <c r="E5" s="6">
        <v>0.9617</v>
      </c>
      <c r="F5" s="6" t="s">
        <v>26</v>
      </c>
      <c r="G5" s="6">
        <v>1.0004999999999999</v>
      </c>
      <c r="H5" s="6">
        <v>0.69116315789473692</v>
      </c>
      <c r="I5" s="6">
        <v>0</v>
      </c>
      <c r="J5" s="6">
        <v>0</v>
      </c>
    </row>
    <row r="6" spans="3:10" x14ac:dyDescent="0.3">
      <c r="C6" s="6" t="s">
        <v>61</v>
      </c>
      <c r="D6" s="6">
        <v>14</v>
      </c>
      <c r="E6" s="6">
        <v>0.9617</v>
      </c>
      <c r="F6" s="6" t="s">
        <v>26</v>
      </c>
      <c r="G6" s="6">
        <v>3.2262</v>
      </c>
      <c r="H6" s="6">
        <v>0.69155789473684204</v>
      </c>
      <c r="I6" s="6">
        <v>0</v>
      </c>
      <c r="J6" s="6">
        <v>0</v>
      </c>
    </row>
    <row r="7" spans="3:10" x14ac:dyDescent="0.3">
      <c r="C7" s="6" t="s">
        <v>62</v>
      </c>
      <c r="D7" s="6">
        <v>21</v>
      </c>
      <c r="E7" s="6">
        <v>0.97899999999999998</v>
      </c>
      <c r="F7" s="6" t="s">
        <v>26</v>
      </c>
      <c r="G7" s="6">
        <v>2.0242</v>
      </c>
      <c r="H7" s="6">
        <v>0.69891052631578954</v>
      </c>
      <c r="I7" s="6">
        <v>0</v>
      </c>
      <c r="J7" s="6">
        <v>0</v>
      </c>
    </row>
    <row r="8" spans="3:10" x14ac:dyDescent="0.3">
      <c r="C8" s="11" t="s">
        <v>63</v>
      </c>
      <c r="D8" s="6">
        <v>28</v>
      </c>
      <c r="E8" s="6">
        <v>0.98270000000000002</v>
      </c>
      <c r="F8" s="6" t="s">
        <v>46</v>
      </c>
      <c r="G8" s="6">
        <v>1.0004999999999999</v>
      </c>
      <c r="H8" s="6">
        <v>0.69843157894736851</v>
      </c>
      <c r="I8" s="6">
        <v>0</v>
      </c>
      <c r="J8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Resumen por escenarios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2026-06-13T22:10:18Z</dcterms:created>
  <dcterms:modified xsi:type="dcterms:W3CDTF">2026-06-13T23:34:11Z</dcterms:modified>
</cp:coreProperties>
</file>